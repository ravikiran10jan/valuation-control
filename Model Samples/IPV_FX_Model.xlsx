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ata_Sourcing_Guide" sheetId="3" state="visible" r:id="rId3"/>
    <sheet xmlns:r="http://schemas.openxmlformats.org/officeDocument/2006/relationships" name="Positions" sheetId="4" state="visible" r:id="rId4"/>
    <sheet xmlns:r="http://schemas.openxmlformats.org/officeDocument/2006/relationships" name="IPV_Price_Sources" sheetId="5" state="visible" r:id="rId5"/>
    <sheet xmlns:r="http://schemas.openxmlformats.org/officeDocument/2006/relationships" name="IPV_Tolerance_Check" sheetId="6" state="visible" r:id="rId6"/>
    <sheet xmlns:r="http://schemas.openxmlformats.org/officeDocument/2006/relationships" name="FVA_Fair_Value_Adj" sheetId="7" state="visible" r:id="rId7"/>
    <sheet xmlns:r="http://schemas.openxmlformats.org/officeDocument/2006/relationships" name="FV_Hierarchy" sheetId="8" state="visible" r:id="rId8"/>
    <sheet xmlns:r="http://schemas.openxmlformats.org/officeDocument/2006/relationships" name="Model_Reserve" sheetId="9" state="visible" r:id="rId9"/>
    <sheet xmlns:r="http://schemas.openxmlformats.org/officeDocument/2006/relationships" name="PVA_Quarterly_Report" sheetId="10" state="visible" r:id="rId10"/>
    <sheet xmlns:r="http://schemas.openxmlformats.org/officeDocument/2006/relationships" name="Regulatory_Reporting" sheetId="11" state="visible" r:id="rId11"/>
    <sheet xmlns:r="http://schemas.openxmlformats.org/officeDocument/2006/relationships" name="Exception_Log" sheetId="12" state="visible" r:id="rId12"/>
    <sheet xmlns:r="http://schemas.openxmlformats.org/officeDocument/2006/relationships" name="Level3_Barrier_Model" sheetId="13" state="visible" r:id="rId13"/>
    <sheet xmlns:r="http://schemas.openxmlformats.org/officeDocument/2006/relationships" name="Day1_PnL_Master_Guide" sheetId="14" state="visible" r:id="rId14"/>
    <sheet xmlns:r="http://schemas.openxmlformats.org/officeDocument/2006/relationships" name="Pricing_Methodology" sheetId="15" state="visible" r:id="rId15"/>
    <sheet xmlns:r="http://schemas.openxmlformats.org/officeDocument/2006/relationships" name="Day1_PnL_Complete_Guide" sheetId="16" state="visible" r:id="rId16"/>
    <sheet xmlns:r="http://schemas.openxmlformats.org/officeDocument/2006/relationships" name="Greeks_PnL_Attribution" sheetId="17" state="visible" r:id="rId17"/>
    <sheet xmlns:r="http://schemas.openxmlformats.org/officeDocument/2006/relationships" name="Model_Disputes_Pushback" sheetId="18" state="visible" r:id="rId18"/>
    <sheet xmlns:r="http://schemas.openxmlformats.org/officeDocument/2006/relationships" name="Barrier_Pricing_Methods" sheetId="19" state="visible" r:id="rId19"/>
    <sheet xmlns:r="http://schemas.openxmlformats.org/officeDocument/2006/relationships" name="AVA_Calcula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%"/>
  </numFmts>
  <fonts count="5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1E4620"/>
      <sz val="11"/>
    </font>
    <font>
      <name val="Arial"/>
      <i val="1"/>
      <color rgb="00808080"/>
      <sz val="9"/>
    </font>
    <font>
      <name val="Arial"/>
      <b val="1"/>
      <color rgb="00C00000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276221"/>
      <sz val="9"/>
    </font>
    <font>
      <name val="Arial"/>
      <i val="1"/>
      <color rgb="00808080"/>
      <sz val="8"/>
    </font>
    <font>
      <name val="Arial"/>
      <b val="1"/>
      <color rgb="00C00000"/>
      <sz val="10"/>
    </font>
    <font>
      <name val="Arial"/>
      <color rgb="00C00000"/>
      <sz val="9"/>
    </font>
    <font>
      <name val="Arial"/>
      <b val="1"/>
      <color rgb="00C00000"/>
      <sz val="9"/>
    </font>
    <font>
      <name val="Arial"/>
      <b val="1"/>
      <color rgb="007F6000"/>
      <sz val="9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i val="1"/>
      <color rgb="00000000"/>
      <sz val="9"/>
    </font>
    <font>
      <name val="Arial"/>
      <i val="1"/>
      <color rgb="007F6000"/>
      <sz val="9"/>
    </font>
    <font>
      <name val="Arial"/>
      <i val="1"/>
      <color rgb="001F3864"/>
      <sz val="8"/>
    </font>
    <font>
      <name val="Arial"/>
      <i val="1"/>
      <color rgb="00000000"/>
      <sz val="8"/>
    </font>
    <font>
      <name val="Arial"/>
      <i val="1"/>
      <color rgb="00404040"/>
      <sz val="8"/>
    </font>
    <font>
      <name val="Arial"/>
      <color rgb="00000000"/>
      <sz val="8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i val="1"/>
      <color rgb="00404040"/>
      <sz val="9"/>
    </font>
    <font>
      <name val="Arial"/>
      <b val="1"/>
      <color rgb="007F6000"/>
      <sz val="10"/>
    </font>
    <font>
      <name val="Arial"/>
      <b val="1"/>
      <color rgb="00000000"/>
      <sz val="11"/>
    </font>
    <font>
      <name val="Arial"/>
      <color rgb="00C00000"/>
      <sz val="10"/>
    </font>
    <font>
      <name val="Arial"/>
      <b val="1"/>
      <color rgb="007B0000"/>
      <sz val="10"/>
    </font>
    <font>
      <name val="Arial"/>
      <color rgb="007B0000"/>
      <sz val="9"/>
    </font>
    <font>
      <b val="1"/>
      <color rgb="00FFFFFF"/>
      <sz val="14"/>
    </font>
    <font>
      <b val="1"/>
    </font>
    <font/>
    <font>
      <b val="1"/>
      <color rgb="00FFFFFF"/>
      <sz val="12"/>
    </font>
    <font>
      <b val="1"/>
      <sz val="12"/>
    </font>
    <font>
      <b val="1"/>
      <sz val="11"/>
    </font>
    <font>
      <b val="1"/>
      <color rgb="00C00000"/>
      <sz val="11"/>
    </font>
    <font>
      <b val="1"/>
      <color rgb="001E4620"/>
    </font>
    <font>
      <i val="1"/>
      <sz val="9"/>
    </font>
    <font>
      <b val="1"/>
      <color rgb="00C00000"/>
    </font>
    <font>
      <name val="Arial"/>
      <b val="1"/>
      <color rgb="001E4620"/>
      <sz val="10"/>
    </font>
    <font>
      <name val="Arial"/>
      <color rgb="001E4620"/>
      <sz val="10"/>
    </font>
    <font>
      <b val="1"/>
      <color rgb="00FFFFFF"/>
      <sz val="13"/>
    </font>
    <font>
      <b val="1"/>
      <color rgb="00FFFFFF"/>
      <sz val="11"/>
    </font>
    <font>
      <sz val="9"/>
    </font>
    <font>
      <b val="1"/>
      <sz val="10"/>
    </font>
    <font>
      <name val="Arial"/>
      <color rgb="00FFFFFF"/>
      <sz val="9"/>
    </font>
    <font>
      <name val="Arial"/>
      <color rgb="00000000"/>
      <sz val="11"/>
    </font>
    <font>
      <b val="1"/>
      <sz val="9"/>
    </font>
    <font>
      <sz val="8"/>
    </font>
    <font>
      <b val="1"/>
      <color rgb="00FFFFFF"/>
    </font>
    <font>
      <name val="Arial"/>
      <b val="1"/>
      <color rgb="00000000"/>
      <sz val="8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E4620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6E4F0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7B0000"/>
      </patternFill>
    </fill>
    <fill>
      <patternFill patternType="solid">
        <fgColor rgb="007B2FBE"/>
      </patternFill>
    </fill>
    <fill>
      <patternFill patternType="solid">
        <fgColor rgb="00EAD7F7"/>
      </patternFill>
    </fill>
    <fill>
      <patternFill patternType="solid">
        <fgColor rgb="004B0082"/>
      </patternFill>
    </fill>
    <fill>
      <patternFill patternType="solid">
        <fgColor rgb="00E2EFDA"/>
      </patternFill>
    </fill>
    <fill>
      <patternFill patternType="solid">
        <fgColor rgb="00FF6600"/>
      </patternFill>
    </fill>
    <fill>
      <patternFill patternType="solid">
        <fgColor rgb="00FFE5CC"/>
      </patternFill>
    </fill>
    <fill>
      <patternFill patternType="solid">
        <fgColor rgb="00005A5A"/>
      </patternFill>
    </fill>
    <fill>
      <patternFill patternType="solid">
        <fgColor rgb="00D9EAD3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10" fontId="15" fillId="5" borderId="1" applyAlignment="1" pivotButton="0" quotePrefix="0" xfId="0">
      <alignment horizontal="center" vertical="center" wrapText="1"/>
    </xf>
    <xf numFmtId="164" fontId="16" fillId="5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10" fontId="15" fillId="4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9" fillId="2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5" fontId="20" fillId="11" borderId="1" applyAlignment="1" pivotButton="0" quotePrefix="0" xfId="0">
      <alignment horizontal="center" vertical="center" wrapText="1"/>
    </xf>
    <xf numFmtId="1" fontId="12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1" fontId="12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2" fontId="20" fillId="11" borderId="1" applyAlignment="1" pivotButton="0" quotePrefix="0" xfId="0">
      <alignment horizontal="center" vertical="center" wrapText="1"/>
    </xf>
    <xf numFmtId="2" fontId="12" fillId="4" borderId="1" applyAlignment="1" pivotButton="0" quotePrefix="0" xfId="0">
      <alignment horizontal="center" vertical="center" wrapText="1"/>
    </xf>
    <xf numFmtId="2" fontId="12" fillId="5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22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10" fillId="14" borderId="1" applyAlignment="1" pivotButton="0" quotePrefix="0" xfId="0">
      <alignment horizontal="center" vertical="center" wrapText="1"/>
    </xf>
    <xf numFmtId="10" fontId="12" fillId="4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65" fontId="11" fillId="11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10" fillId="1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21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10" fillId="19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 wrapText="1"/>
    </xf>
    <xf numFmtId="164" fontId="27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64" fontId="20" fillId="5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0" fillId="16" borderId="1" pivotButton="0" quotePrefix="0" xfId="0"/>
    <xf numFmtId="164" fontId="9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6" fontId="20" fillId="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166" fontId="20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164" fontId="9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0" fillId="20" borderId="1" pivotButton="0" quotePrefix="0" xfId="0"/>
    <xf numFmtId="0" fontId="21" fillId="20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3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3" fillId="2" borderId="6" pivotButton="0" quotePrefix="0" xfId="0"/>
    <xf numFmtId="0" fontId="4" fillId="11" borderId="6" pivotButton="0" quotePrefix="0" xfId="0"/>
    <xf numFmtId="0" fontId="3" fillId="6" borderId="6" pivotButton="0" quotePrefix="0" xfId="0"/>
    <xf numFmtId="0" fontId="20" fillId="20" borderId="6" pivotButton="0" quotePrefix="0" xfId="0"/>
    <xf numFmtId="0" fontId="4" fillId="13" borderId="6" pivotButton="0" quotePrefix="0" xfId="0"/>
    <xf numFmtId="165" fontId="4" fillId="13" borderId="6" pivotButton="0" quotePrefix="0" xfId="0"/>
    <xf numFmtId="0" fontId="4" fillId="5" borderId="6" pivotButton="0" quotePrefix="0" xfId="0"/>
    <xf numFmtId="3" fontId="4" fillId="13" borderId="6" pivotButton="0" quotePrefix="0" xfId="0"/>
    <xf numFmtId="0" fontId="3" fillId="19" borderId="6" pivotButton="0" quotePrefix="0" xfId="0"/>
    <xf numFmtId="0" fontId="20" fillId="5" borderId="6" pivotButton="0" quotePrefix="0" xfId="0"/>
    <xf numFmtId="10" fontId="4" fillId="5" borderId="6" pivotButton="0" quotePrefix="0" xfId="0"/>
    <xf numFmtId="164" fontId="4" fillId="5" borderId="6" pivotButton="0" quotePrefix="0" xfId="0"/>
    <xf numFmtId="164" fontId="32" fillId="5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19" fillId="2" borderId="6" applyAlignment="1" pivotButton="0" quotePrefix="0" xfId="0">
      <alignment horizontal="left" vertical="center" wrapText="1"/>
    </xf>
    <xf numFmtId="0" fontId="12" fillId="11" borderId="6" applyAlignment="1" pivotButton="0" quotePrefix="0" xfId="0">
      <alignment horizontal="left" vertical="center" wrapText="1"/>
    </xf>
    <xf numFmtId="0" fontId="9" fillId="6" borderId="6" applyAlignment="1" pivotButton="0" quotePrefix="0" xfId="0">
      <alignment horizontal="left" vertical="center" wrapText="1"/>
    </xf>
    <xf numFmtId="0" fontId="20" fillId="20" borderId="6" applyAlignment="1" pivotButton="0" quotePrefix="0" xfId="0">
      <alignment horizontal="left" vertical="center" wrapText="1"/>
    </xf>
    <xf numFmtId="0" fontId="20" fillId="20" borderId="6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left" vertical="center" wrapText="1"/>
    </xf>
    <xf numFmtId="164" fontId="20" fillId="1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20" fillId="5" borderId="6" applyAlignment="1" pivotButton="0" quotePrefix="0" xfId="0">
      <alignment horizontal="left" vertical="center" wrapText="1"/>
    </xf>
    <xf numFmtId="0" fontId="4" fillId="5" borderId="6" applyAlignment="1" pivotButton="0" quotePrefix="0" xfId="0">
      <alignment horizontal="center" vertical="center" wrapText="1"/>
    </xf>
    <xf numFmtId="164" fontId="33" fillId="13" borderId="6" applyAlignment="1" pivotButton="0" quotePrefix="0" xfId="0">
      <alignment horizontal="center" vertical="center" wrapText="1"/>
    </xf>
    <xf numFmtId="166" fontId="33" fillId="13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164" fontId="4" fillId="9" borderId="6" applyAlignment="1" pivotButton="0" quotePrefix="0" xfId="0">
      <alignment horizontal="center" vertical="center" wrapText="1"/>
    </xf>
    <xf numFmtId="164" fontId="4" fillId="20" borderId="6" applyAlignment="1" pivotButton="0" quotePrefix="0" xfId="0">
      <alignment horizontal="center" vertical="center" wrapText="1"/>
    </xf>
    <xf numFmtId="0" fontId="20" fillId="13" borderId="6" applyAlignment="1" pivotButton="0" quotePrefix="0" xfId="0">
      <alignment horizontal="left" vertical="center" wrapText="1"/>
    </xf>
    <xf numFmtId="0" fontId="4" fillId="13" borderId="6" applyAlignment="1" pivotButton="0" quotePrefix="0" xfId="0">
      <alignment horizontal="center" vertical="center" wrapText="1"/>
    </xf>
    <xf numFmtId="0" fontId="9" fillId="16" borderId="6" applyAlignment="1" pivotButton="0" quotePrefix="0" xfId="0">
      <alignment horizontal="left" vertical="center" wrapText="1"/>
    </xf>
    <xf numFmtId="0" fontId="20" fillId="9" borderId="6" applyAlignment="1" pivotButton="0" quotePrefix="0" xfId="0">
      <alignment horizontal="left" vertical="center" wrapText="1"/>
    </xf>
    <xf numFmtId="0" fontId="20" fillId="9" borderId="6" applyAlignment="1" pivotButton="0" quotePrefix="0" xfId="0">
      <alignment horizontal="center" vertical="center" wrapText="1"/>
    </xf>
    <xf numFmtId="164" fontId="4" fillId="5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center" wrapText="1"/>
    </xf>
    <xf numFmtId="164" fontId="4" fillId="4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164" fontId="20" fillId="9" borderId="6" applyAlignment="1" pivotButton="0" quotePrefix="0" xfId="0">
      <alignment horizontal="center" vertical="center" wrapText="1"/>
    </xf>
    <xf numFmtId="0" fontId="9" fillId="21" borderId="6" applyAlignment="1" pivotButton="0" quotePrefix="0" xfId="0">
      <alignment horizontal="left" vertical="center" wrapText="1"/>
    </xf>
    <xf numFmtId="0" fontId="20" fillId="22" borderId="6" applyAlignment="1" pivotButton="0" quotePrefix="0" xfId="0">
      <alignment horizontal="left" vertical="center" wrapText="1"/>
    </xf>
    <xf numFmtId="0" fontId="20" fillId="22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left" vertical="center" wrapText="1"/>
    </xf>
    <xf numFmtId="0" fontId="12" fillId="4" borderId="6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left" vertical="center" wrapText="1"/>
    </xf>
    <xf numFmtId="0" fontId="12" fillId="5" borderId="6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left" vertical="center" wrapText="1"/>
    </xf>
    <xf numFmtId="0" fontId="20" fillId="13" borderId="6" applyAlignment="1" pivotButton="0" quotePrefix="0" xfId="0">
      <alignment horizontal="center" vertical="center" wrapText="1"/>
    </xf>
    <xf numFmtId="164" fontId="12" fillId="5" borderId="6" applyAlignment="1" pivotButton="0" quotePrefix="0" xfId="0">
      <alignment horizontal="center" vertical="center" wrapText="1"/>
    </xf>
    <xf numFmtId="164" fontId="34" fillId="4" borderId="6" applyAlignment="1" pivotButton="0" quotePrefix="0" xfId="0">
      <alignment horizontal="center" vertical="center" wrapText="1"/>
    </xf>
    <xf numFmtId="164" fontId="34" fillId="5" borderId="6" applyAlignment="1" pivotButton="0" quotePrefix="0" xfId="0">
      <alignment horizontal="center" vertical="center" wrapText="1"/>
    </xf>
    <xf numFmtId="164" fontId="12" fillId="4" borderId="6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left" vertical="center" wrapText="1"/>
    </xf>
    <xf numFmtId="0" fontId="35" fillId="2" borderId="0" pivotButton="0" quotePrefix="0" xfId="0"/>
    <xf numFmtId="0" fontId="36" fillId="20" borderId="0" pivotButton="0" quotePrefix="0" xfId="0"/>
    <xf numFmtId="0" fontId="37" fillId="5" borderId="0" pivotButton="0" quotePrefix="0" xfId="0"/>
    <xf numFmtId="0" fontId="0" fillId="5" borderId="0" pivotButton="0" quotePrefix="0" xfId="0"/>
    <xf numFmtId="0" fontId="36" fillId="19" borderId="0" pivotButton="0" quotePrefix="0" xfId="0"/>
    <xf numFmtId="0" fontId="0" fillId="20" borderId="0" pivotButton="0" quotePrefix="0" xfId="0"/>
    <xf numFmtId="0" fontId="36" fillId="23" borderId="0" pivotButton="0" quotePrefix="0" xfId="0"/>
    <xf numFmtId="0" fontId="36" fillId="24" borderId="0" pivotButton="0" quotePrefix="0" xfId="0"/>
    <xf numFmtId="0" fontId="0" fillId="24" borderId="0" pivotButton="0" quotePrefix="0" xfId="0"/>
    <xf numFmtId="0" fontId="36" fillId="16" borderId="0" pivotButton="0" quotePrefix="0" xfId="0"/>
    <xf numFmtId="0" fontId="36" fillId="9" borderId="0" pivotButton="0" quotePrefix="0" xfId="0"/>
    <xf numFmtId="0" fontId="0" fillId="9" borderId="0" pivotButton="0" quotePrefix="0" xfId="0"/>
    <xf numFmtId="0" fontId="36" fillId="14" borderId="0" pivotButton="0" quotePrefix="0" xfId="0"/>
    <xf numFmtId="0" fontId="36" fillId="13" borderId="0" pivotButton="0" quotePrefix="0" xfId="0"/>
    <xf numFmtId="0" fontId="0" fillId="13" borderId="0" pivotButton="0" quotePrefix="0" xfId="0"/>
    <xf numFmtId="0" fontId="35" fillId="19" borderId="0" applyAlignment="1" pivotButton="0" quotePrefix="0" xfId="0">
      <alignment horizontal="center"/>
    </xf>
    <xf numFmtId="0" fontId="38" fillId="3" borderId="0" pivotButton="0" quotePrefix="0" xfId="0"/>
    <xf numFmtId="0" fontId="38" fillId="6" borderId="0" pivotButton="0" quotePrefix="0" xfId="0"/>
    <xf numFmtId="0" fontId="38" fillId="16" borderId="0" pivotButton="0" quotePrefix="0" xfId="0"/>
    <xf numFmtId="0" fontId="38" fillId="14" borderId="0" pivotButton="0" quotePrefix="0" xfId="0"/>
    <xf numFmtId="0" fontId="36" fillId="0" borderId="0" pivotButton="0" quotePrefix="0" xfId="0"/>
    <xf numFmtId="0" fontId="39" fillId="0" borderId="0" pivotButton="0" quotePrefix="0" xfId="0"/>
    <xf numFmtId="0" fontId="35" fillId="2" borderId="0" applyAlignment="1" pivotButton="0" quotePrefix="0" xfId="0">
      <alignment horizontal="center"/>
    </xf>
    <xf numFmtId="0" fontId="40" fillId="0" borderId="0" pivotButton="0" quotePrefix="0" xfId="0"/>
    <xf numFmtId="0" fontId="41" fillId="0" borderId="0" pivotButton="0" quotePrefix="0" xfId="0"/>
    <xf numFmtId="0" fontId="41" fillId="10" borderId="0" pivotButton="0" quotePrefix="0" xfId="0"/>
    <xf numFmtId="0" fontId="0" fillId="1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12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164" fontId="4" fillId="13" borderId="1" applyAlignment="1" pivotButton="0" quotePrefix="0" xfId="0">
      <alignment horizontal="center" vertical="center" wrapText="1"/>
    </xf>
    <xf numFmtId="164" fontId="15" fillId="9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5" fillId="4" borderId="1" applyAlignment="1" pivotButton="0" quotePrefix="0" xfId="0">
      <alignment horizontal="center" vertical="center" wrapText="1"/>
    </xf>
    <xf numFmtId="0" fontId="45" fillId="5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4" fontId="4" fillId="20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5" fillId="4" borderId="1" applyAlignment="1" pivotButton="0" quotePrefix="0" xfId="0">
      <alignment horizontal="center" vertical="center" wrapText="1"/>
    </xf>
    <xf numFmtId="164" fontId="32" fillId="5" borderId="1" applyAlignment="1" pivotButton="0" quotePrefix="0" xfId="0">
      <alignment horizontal="center" vertical="center" wrapText="1"/>
    </xf>
    <xf numFmtId="164" fontId="46" fillId="5" borderId="1" applyAlignment="1" pivotButton="0" quotePrefix="0" xfId="0">
      <alignment horizontal="center" vertical="center" wrapText="1"/>
    </xf>
    <xf numFmtId="164" fontId="46" fillId="4" borderId="1" applyAlignment="1" pivotButton="0" quotePrefix="0" xfId="0">
      <alignment horizontal="center" vertical="center" wrapText="1"/>
    </xf>
    <xf numFmtId="164" fontId="32" fillId="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left" vertical="center" wrapText="1"/>
    </xf>
    <xf numFmtId="0" fontId="47" fillId="2" borderId="0" applyAlignment="1" pivotButton="0" quotePrefix="0" xfId="0">
      <alignment horizontal="center" wrapText="1"/>
    </xf>
    <xf numFmtId="0" fontId="0" fillId="11" borderId="0" pivotButton="0" quotePrefix="0" xfId="0"/>
    <xf numFmtId="0" fontId="48" fillId="3" borderId="0" pivotButton="0" quotePrefix="0" xfId="0"/>
    <xf numFmtId="0" fontId="40" fillId="13" borderId="0" pivotButton="0" quotePrefix="0" xfId="0"/>
    <xf numFmtId="0" fontId="49" fillId="5" borderId="0" pivotButton="0" quotePrefix="0" xfId="0"/>
    <xf numFmtId="0" fontId="48" fillId="16" borderId="0" pivotButton="0" quotePrefix="0" xfId="0"/>
    <xf numFmtId="0" fontId="49" fillId="9" borderId="0" pivotButton="0" quotePrefix="0" xfId="0"/>
    <xf numFmtId="0" fontId="50" fillId="13" borderId="0" pivotButton="0" quotePrefix="0" xfId="0"/>
    <xf numFmtId="0" fontId="50" fillId="9" borderId="0" pivotButton="0" quotePrefix="0" xfId="0"/>
    <xf numFmtId="0" fontId="48" fillId="21" borderId="0" pivotButton="0" quotePrefix="0" xfId="0"/>
    <xf numFmtId="0" fontId="0" fillId="22" borderId="0" pivotButton="0" quotePrefix="0" xfId="0"/>
    <xf numFmtId="0" fontId="48" fillId="6" borderId="0" pivotButton="0" quotePrefix="0" xfId="0"/>
    <xf numFmtId="0" fontId="44" fillId="10" borderId="0" pivotButton="0" quotePrefix="0" xfId="0"/>
    <xf numFmtId="0" fontId="50" fillId="11" borderId="0" pivotButton="0" quotePrefix="0" xfId="0"/>
    <xf numFmtId="0" fontId="50" fillId="20" borderId="0" pivotButton="0" quotePrefix="0" xfId="0"/>
    <xf numFmtId="0" fontId="48" fillId="19" borderId="0" pivotButton="0" quotePrefix="0" xfId="0"/>
    <xf numFmtId="0" fontId="48" fillId="14" borderId="0" pivotButton="0" quotePrefix="0" xfId="0"/>
    <xf numFmtId="0" fontId="0" fillId="2" borderId="6" pivotButton="0" quotePrefix="0" xfId="0"/>
    <xf numFmtId="0" fontId="51" fillId="3" borderId="6" applyAlignment="1" pivotButton="0" quotePrefix="0" xfId="0">
      <alignment horizontal="left" vertical="center" wrapText="1"/>
    </xf>
    <xf numFmtId="0" fontId="0" fillId="3" borderId="6" pivotButton="0" quotePrefix="0" xfId="0"/>
    <xf numFmtId="0" fontId="0" fillId="6" borderId="6" pivotButton="0" quotePrefix="0" xfId="0"/>
    <xf numFmtId="0" fontId="4" fillId="20" borderId="6" applyAlignment="1" pivotButton="0" quotePrefix="0" xfId="0">
      <alignment horizontal="left" vertical="center" wrapText="1"/>
    </xf>
    <xf numFmtId="0" fontId="52" fillId="20" borderId="6" applyAlignment="1" pivotButton="0" quotePrefix="0" xfId="0">
      <alignment horizontal="center" vertical="center" wrapText="1"/>
    </xf>
    <xf numFmtId="0" fontId="0" fillId="20" borderId="6" pivotButton="0" quotePrefix="0" xfId="0"/>
    <xf numFmtId="0" fontId="20" fillId="5" borderId="6" applyAlignment="1" pivotButton="0" quotePrefix="0" xfId="0">
      <alignment horizontal="center" vertical="center" wrapText="1"/>
    </xf>
    <xf numFmtId="0" fontId="52" fillId="5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9" fillId="19" borderId="6" applyAlignment="1" pivotButton="0" quotePrefix="0" xfId="0">
      <alignment horizontal="left" vertical="center" wrapText="1"/>
    </xf>
    <xf numFmtId="0" fontId="0" fillId="19" borderId="6" pivotButton="0" quotePrefix="0" xfId="0"/>
    <xf numFmtId="0" fontId="4" fillId="18" borderId="6" applyAlignment="1" pivotButton="0" quotePrefix="0" xfId="0">
      <alignment horizontal="left" vertical="center" wrapText="1"/>
    </xf>
    <xf numFmtId="0" fontId="20" fillId="18" borderId="6" applyAlignment="1" pivotButton="0" quotePrefix="0" xfId="0">
      <alignment horizontal="center" vertical="center" wrapText="1"/>
    </xf>
    <xf numFmtId="0" fontId="31" fillId="18" borderId="6" applyAlignment="1" pivotButton="0" quotePrefix="0" xfId="0">
      <alignment horizontal="center" vertical="center" wrapText="1"/>
    </xf>
    <xf numFmtId="0" fontId="0" fillId="18" borderId="6" pivotButton="0" quotePrefix="0" xfId="0"/>
    <xf numFmtId="0" fontId="11" fillId="4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11" fillId="5" borderId="6" applyAlignment="1" pivotButton="0" quotePrefix="0" xfId="0">
      <alignment horizontal="center" vertical="center" wrapText="1"/>
    </xf>
    <xf numFmtId="0" fontId="0" fillId="16" borderId="6" pivotButton="0" quotePrefix="0" xfId="0"/>
    <xf numFmtId="0" fontId="4" fillId="9" borderId="6" applyAlignment="1" pivotButton="0" quotePrefix="0" xfId="0">
      <alignment horizontal="left" vertical="center" wrapText="1"/>
    </xf>
    <xf numFmtId="0" fontId="31" fillId="9" borderId="6" applyAlignment="1" pivotButton="0" quotePrefix="0" xfId="0">
      <alignment horizontal="center" vertical="center" wrapText="1"/>
    </xf>
    <xf numFmtId="0" fontId="0" fillId="9" borderId="6" pivotButton="0" quotePrefix="0" xfId="0"/>
    <xf numFmtId="0" fontId="45" fillId="13" borderId="6" applyAlignment="1" pivotButton="0" quotePrefix="0" xfId="0">
      <alignment horizontal="center" vertical="center" wrapText="1"/>
    </xf>
    <xf numFmtId="0" fontId="26" fillId="4" borderId="6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left" vertical="center" wrapText="1"/>
    </xf>
    <xf numFmtId="0" fontId="11" fillId="13" borderId="6" applyAlignment="1" pivotButton="0" quotePrefix="0" xfId="0">
      <alignment horizontal="center" vertical="center" wrapText="1"/>
    </xf>
    <xf numFmtId="0" fontId="12" fillId="13" borderId="6" applyAlignment="1" pivotButton="0" quotePrefix="0" xfId="0">
      <alignment horizontal="center" vertical="center" wrapText="1"/>
    </xf>
    <xf numFmtId="0" fontId="26" fillId="13" borderId="6" applyAlignment="1" pivotButton="0" quotePrefix="0" xfId="0">
      <alignment horizontal="center" vertical="center" wrapText="1"/>
    </xf>
    <xf numFmtId="0" fontId="0" fillId="13" borderId="6" pivotButton="0" quotePrefix="0" xfId="0"/>
    <xf numFmtId="0" fontId="15" fillId="13" borderId="6" applyAlignment="1" pivotButton="0" quotePrefix="0" xfId="0">
      <alignment horizontal="center" vertical="center" wrapText="1"/>
    </xf>
    <xf numFmtId="0" fontId="26" fillId="5" borderId="6" applyAlignment="1" pivotButton="0" quotePrefix="0" xfId="0">
      <alignment horizontal="center" vertical="center" wrapText="1"/>
    </xf>
    <xf numFmtId="0" fontId="0" fillId="12" borderId="6" pivotButton="0" quotePrefix="0" xfId="0"/>
    <xf numFmtId="0" fontId="31" fillId="13" borderId="6" applyAlignment="1" pivotButton="0" quotePrefix="0" xfId="0">
      <alignment horizontal="center" vertical="center" wrapText="1"/>
    </xf>
    <xf numFmtId="0" fontId="11" fillId="22" borderId="6" applyAlignment="1" pivotButton="0" quotePrefix="0" xfId="0">
      <alignment horizontal="center" vertical="center" wrapText="1"/>
    </xf>
    <xf numFmtId="0" fontId="17" fillId="22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left" vertical="center" wrapText="1"/>
    </xf>
    <xf numFmtId="0" fontId="20" fillId="11" borderId="6" applyAlignment="1" pivotButton="0" quotePrefix="0" xfId="0">
      <alignment horizontal="center" vertical="center" wrapText="1"/>
    </xf>
    <xf numFmtId="0" fontId="31" fillId="11" borderId="6" applyAlignment="1" pivotButton="0" quotePrefix="0" xfId="0">
      <alignment horizontal="center" vertical="center" wrapText="1"/>
    </xf>
    <xf numFmtId="0" fontId="0" fillId="11" borderId="6" pivotButton="0" quotePrefix="0" xfId="0"/>
    <xf numFmtId="0" fontId="46" fillId="5" borderId="6" applyAlignment="1" pivotButton="0" quotePrefix="0" xfId="0">
      <alignment horizontal="center" vertical="center" wrapText="1"/>
    </xf>
    <xf numFmtId="0" fontId="32" fillId="4" borderId="6" applyAlignment="1" pivotButton="0" quotePrefix="0" xfId="0">
      <alignment horizontal="center" vertical="center" wrapText="1"/>
    </xf>
    <xf numFmtId="0" fontId="32" fillId="5" borderId="6" applyAlignment="1" pivotButton="0" quotePrefix="0" xfId="0">
      <alignment horizontal="center" vertical="center" wrapText="1"/>
    </xf>
    <xf numFmtId="0" fontId="46" fillId="4" borderId="6" applyAlignment="1" pivotButton="0" quotePrefix="0" xfId="0">
      <alignment horizontal="center" vertical="center" wrapText="1"/>
    </xf>
    <xf numFmtId="0" fontId="11" fillId="20" borderId="6" applyAlignment="1" pivotButton="0" quotePrefix="0" xfId="0">
      <alignment horizontal="center" vertical="center" wrapText="1"/>
    </xf>
    <xf numFmtId="0" fontId="12" fillId="20" borderId="6" applyAlignment="1" pivotButton="0" quotePrefix="0" xfId="0">
      <alignment horizontal="center" vertical="center" wrapText="1"/>
    </xf>
    <xf numFmtId="0" fontId="26" fillId="20" borderId="6" applyAlignment="1" pivotButton="0" quotePrefix="0" xfId="0">
      <alignment horizontal="center" vertical="center" wrapText="1"/>
    </xf>
    <xf numFmtId="0" fontId="0" fillId="21" borderId="6" pivotButton="0" quotePrefix="0" xfId="0"/>
    <xf numFmtId="0" fontId="12" fillId="22" borderId="6" applyAlignment="1" pivotButton="0" quotePrefix="0" xfId="0">
      <alignment horizontal="left" vertical="center" wrapText="1"/>
    </xf>
    <xf numFmtId="0" fontId="0" fillId="22" borderId="6" pivotButton="0" quotePrefix="0" xfId="0"/>
    <xf numFmtId="0" fontId="48" fillId="6" borderId="0" applyAlignment="1" pivotButton="0" quotePrefix="0" xfId="0">
      <alignment wrapText="1"/>
    </xf>
    <xf numFmtId="0" fontId="53" fillId="0" borderId="0" pivotButton="0" quotePrefix="0" xfId="0"/>
    <xf numFmtId="0" fontId="48" fillId="19" borderId="0" applyAlignment="1" pivotButton="0" quotePrefix="0" xfId="0">
      <alignment wrapText="1"/>
    </xf>
    <xf numFmtId="0" fontId="36" fillId="18" borderId="0" pivotButton="0" quotePrefix="0" xfId="0"/>
    <xf numFmtId="0" fontId="54" fillId="0" borderId="0" pivotButton="0" quotePrefix="0" xfId="0"/>
    <xf numFmtId="0" fontId="48" fillId="16" borderId="0" applyAlignment="1" pivotButton="0" quotePrefix="0" xfId="0">
      <alignment wrapText="1"/>
    </xf>
    <xf numFmtId="0" fontId="55" fillId="21" borderId="0" pivotButton="0" quotePrefix="0" xfId="0"/>
    <xf numFmtId="0" fontId="49" fillId="22" borderId="0" pivotButton="0" quotePrefix="0" xfId="0"/>
    <xf numFmtId="0" fontId="48" fillId="14" borderId="0" applyAlignment="1" pivotButton="0" quotePrefix="0" xfId="0">
      <alignment wrapText="1"/>
    </xf>
    <xf numFmtId="0" fontId="11" fillId="13" borderId="6" applyAlignment="1" pivotButton="0" quotePrefix="0" xfId="0">
      <alignment horizontal="left" vertical="center" wrapText="1"/>
    </xf>
    <xf numFmtId="0" fontId="26" fillId="5" borderId="6" applyAlignment="1" pivotButton="0" quotePrefix="0" xfId="0">
      <alignment horizontal="left" vertical="center" wrapText="1"/>
    </xf>
    <xf numFmtId="164" fontId="20" fillId="13" borderId="6" applyAlignment="1" pivotButton="0" quotePrefix="0" xfId="0">
      <alignment horizontal="left" vertical="center" wrapText="1"/>
    </xf>
    <xf numFmtId="0" fontId="26" fillId="4" borderId="6" applyAlignment="1" pivotButton="0" quotePrefix="0" xfId="0">
      <alignment horizontal="left" vertical="center" wrapText="1"/>
    </xf>
    <xf numFmtId="0" fontId="56" fillId="11" borderId="6" applyAlignment="1" pivotButton="0" quotePrefix="0" xfId="0">
      <alignment horizontal="left" vertical="center" wrapText="1"/>
    </xf>
    <xf numFmtId="0" fontId="26" fillId="11" borderId="6" applyAlignment="1" pivotButton="0" quotePrefix="0" xfId="0">
      <alignment horizontal="left" vertical="center" wrapText="1"/>
    </xf>
    <xf numFmtId="0" fontId="56" fillId="5" borderId="6" applyAlignment="1" pivotButton="0" quotePrefix="0" xfId="0">
      <alignment horizontal="left" vertical="center" wrapText="1"/>
    </xf>
    <xf numFmtId="0" fontId="3" fillId="12" borderId="6" applyAlignment="1" pivotButton="0" quotePrefix="0" xfId="0">
      <alignment horizontal="left" vertical="center" wrapText="1"/>
    </xf>
    <xf numFmtId="164" fontId="4" fillId="5" borderId="6" applyAlignment="1" pivotButton="0" quotePrefix="0" xfId="0">
      <alignment horizontal="left" vertical="center" wrapText="1"/>
    </xf>
    <xf numFmtId="164" fontId="4" fillId="4" borderId="6" applyAlignment="1" pivotButton="0" quotePrefix="0" xfId="0">
      <alignment horizontal="left" vertical="center" wrapText="1"/>
    </xf>
    <xf numFmtId="0" fontId="11" fillId="12" borderId="6" applyAlignment="1" pivotButton="0" quotePrefix="0" xfId="0">
      <alignment horizontal="left" vertical="center" wrapText="1"/>
    </xf>
    <xf numFmtId="164" fontId="20" fillId="12" borderId="6" applyAlignment="1" pivotButton="0" quotePrefix="0" xfId="0">
      <alignment horizontal="left" vertical="center" wrapText="1"/>
    </xf>
    <xf numFmtId="0" fontId="12" fillId="12" borderId="6" applyAlignment="1" pivotButton="0" quotePrefix="0" xfId="0">
      <alignment horizontal="left" vertical="center" wrapText="1"/>
    </xf>
    <xf numFmtId="0" fontId="11" fillId="5" borderId="6" applyAlignment="1" pivotButton="0" quotePrefix="0" xfId="0">
      <alignment horizontal="left" vertical="center" wrapText="1"/>
    </xf>
    <xf numFmtId="164" fontId="12" fillId="5" borderId="6" applyAlignment="1" pivotButton="0" quotePrefix="0" xfId="0">
      <alignment horizontal="left" vertical="center" wrapText="1"/>
    </xf>
    <xf numFmtId="0" fontId="11" fillId="18" borderId="6" applyAlignment="1" pivotButton="0" quotePrefix="0" xfId="0">
      <alignment horizontal="left" vertical="center" wrapText="1"/>
    </xf>
    <xf numFmtId="0" fontId="12" fillId="18" borderId="6" applyAlignment="1" pivotButton="0" quotePrefix="0" xfId="0">
      <alignment horizontal="left" vertical="center" wrapText="1"/>
    </xf>
    <xf numFmtId="0" fontId="26" fillId="18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</cols>
  <sheetData>
    <row r="1" ht="36" customHeight="1">
      <c r="A1" s="1" t="inlineStr">
        <is>
          <t>FX IPV MODEL — SUMMARY DASHBOARD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1" t="n"/>
    </row>
    <row r="2" ht="18" customHeight="1">
      <c r="A2" s="3" t="inlineStr">
        <is>
          <t>Valuation Control  |  Bank of America  |  FX Trading Book  |  Valuation Date: 14-Feb-2025  |  Base Currency: USD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1" t="n"/>
    </row>
    <row r="3" ht="8" customHeight="1"/>
    <row r="4" ht="22" customHeight="1">
      <c r="A4" s="5" t="inlineStr">
        <is>
          <t>KEY METRICS — FX BOOK OVERVIEW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</row>
    <row r="5" ht="24" customHeight="1">
      <c r="A5" s="6" t="inlineStr"/>
      <c r="B5" s="7" t="inlineStr">
        <is>
          <t>Total Notional (USD equiv)</t>
        </is>
      </c>
      <c r="C5" s="8" t="inlineStr">
        <is>
          <t>$485,750,000</t>
        </is>
      </c>
      <c r="D5" s="40" t="n"/>
      <c r="E5" s="40" t="n"/>
      <c r="F5" s="41" t="n"/>
      <c r="G5" s="10" t="inlineStr">
        <is>
          <t>Total across all 7 FX positions</t>
        </is>
      </c>
      <c r="H5" s="40" t="n"/>
      <c r="I5" s="40" t="n"/>
      <c r="J5" s="40" t="n"/>
      <c r="K5" s="40" t="n"/>
      <c r="L5" s="40" t="n"/>
      <c r="M5" s="40" t="n"/>
      <c r="N5" s="41" t="n"/>
    </row>
    <row r="6" ht="24" customHeight="1">
      <c r="A6" s="11" t="inlineStr"/>
      <c r="B6" s="12" t="inlineStr">
        <is>
          <t>Total Book Value (USD)</t>
        </is>
      </c>
      <c r="C6" s="13" t="inlineStr">
        <is>
          <t>$2,847,250</t>
        </is>
      </c>
      <c r="D6" s="40" t="n"/>
      <c r="E6" s="40" t="n"/>
      <c r="F6" s="41" t="n"/>
      <c r="G6" s="15" t="inlineStr">
        <is>
          <t>Mark-to-market value of all positions</t>
        </is>
      </c>
      <c r="H6" s="40" t="n"/>
      <c r="I6" s="40" t="n"/>
      <c r="J6" s="40" t="n"/>
      <c r="K6" s="40" t="n"/>
      <c r="L6" s="40" t="n"/>
      <c r="M6" s="40" t="n"/>
      <c r="N6" s="41" t="n"/>
    </row>
    <row r="7" ht="24" customHeight="1">
      <c r="A7" s="6" t="inlineStr"/>
      <c r="B7" s="7" t="inlineStr">
        <is>
          <t>Total IPV Breaches</t>
        </is>
      </c>
      <c r="C7" s="16" t="inlineStr">
        <is>
          <t>2 RED, 1 AMBER, 4 GREEN</t>
        </is>
      </c>
      <c r="D7" s="40" t="n"/>
      <c r="E7" s="40" t="n"/>
      <c r="F7" s="41" t="n"/>
      <c r="G7" s="10" t="inlineStr">
        <is>
          <t>EM spot (TRY) and barrier option flagged</t>
        </is>
      </c>
      <c r="H7" s="40" t="n"/>
      <c r="I7" s="40" t="n"/>
      <c r="J7" s="40" t="n"/>
      <c r="K7" s="40" t="n"/>
      <c r="L7" s="40" t="n"/>
      <c r="M7" s="40" t="n"/>
      <c r="N7" s="41" t="n"/>
    </row>
    <row r="8" ht="24" customHeight="1">
      <c r="A8" s="11" t="inlineStr"/>
      <c r="B8" s="12" t="inlineStr">
        <is>
          <t>Total FVA (P&amp;L Reserve)</t>
        </is>
      </c>
      <c r="C8" s="17" t="inlineStr">
        <is>
          <t>-$47,820</t>
        </is>
      </c>
      <c r="D8" s="40" t="n"/>
      <c r="E8" s="40" t="n"/>
      <c r="F8" s="41" t="n"/>
      <c r="G8" s="15" t="inlineStr">
        <is>
          <t>Primarily from forward points timing + EM spread</t>
        </is>
      </c>
      <c r="H8" s="40" t="n"/>
      <c r="I8" s="40" t="n"/>
      <c r="J8" s="40" t="n"/>
      <c r="K8" s="40" t="n"/>
      <c r="L8" s="40" t="n"/>
      <c r="M8" s="40" t="n"/>
      <c r="N8" s="41" t="n"/>
    </row>
    <row r="9" ht="24" customHeight="1">
      <c r="A9" s="6" t="inlineStr"/>
      <c r="B9" s="7" t="inlineStr">
        <is>
          <t>Total AVA (CET1 Deduction)</t>
        </is>
      </c>
      <c r="C9" s="8" t="inlineStr">
        <is>
          <t>$89,450</t>
        </is>
      </c>
      <c r="D9" s="40" t="n"/>
      <c r="E9" s="40" t="n"/>
      <c r="F9" s="41" t="n"/>
      <c r="G9" s="10" t="inlineStr">
        <is>
          <t>Concentrated in barrier option (L3) and EM currencies</t>
        </is>
      </c>
      <c r="H9" s="40" t="n"/>
      <c r="I9" s="40" t="n"/>
      <c r="J9" s="40" t="n"/>
      <c r="K9" s="40" t="n"/>
      <c r="L9" s="40" t="n"/>
      <c r="M9" s="40" t="n"/>
      <c r="N9" s="41" t="n"/>
    </row>
    <row r="10" ht="24" customHeight="1">
      <c r="A10" s="11" t="inlineStr"/>
      <c r="B10" s="12" t="inlineStr">
        <is>
          <t>Largest Position</t>
        </is>
      </c>
      <c r="C10" s="13" t="inlineStr">
        <is>
          <t>EUR/USD Spot ($150m notional)</t>
        </is>
      </c>
      <c r="D10" s="40" t="n"/>
      <c r="E10" s="40" t="n"/>
      <c r="F10" s="41" t="n"/>
      <c r="G10" s="15" t="inlineStr">
        <is>
          <t>48% of total G10 spot exposure</t>
        </is>
      </c>
      <c r="H10" s="40" t="n"/>
      <c r="I10" s="40" t="n"/>
      <c r="J10" s="40" t="n"/>
      <c r="K10" s="40" t="n"/>
      <c r="L10" s="40" t="n"/>
      <c r="M10" s="40" t="n"/>
      <c r="N10" s="41" t="n"/>
    </row>
    <row r="11" ht="24" customHeight="1">
      <c r="A11" s="6" t="inlineStr"/>
      <c r="B11" s="7" t="inlineStr">
        <is>
          <t>Largest Breach</t>
        </is>
      </c>
      <c r="C11" s="8" t="inlineStr">
        <is>
          <t>USD/TRY Spot (-8.2%)</t>
        </is>
      </c>
      <c r="D11" s="40" t="n"/>
      <c r="E11" s="40" t="n"/>
      <c r="F11" s="41" t="n"/>
      <c r="G11" s="10" t="inlineStr">
        <is>
          <t>Desk stale vs WM/Reuters 4pm fix, EM volatility</t>
        </is>
      </c>
      <c r="H11" s="40" t="n"/>
      <c r="I11" s="40" t="n"/>
      <c r="J11" s="40" t="n"/>
      <c r="K11" s="40" t="n"/>
      <c r="L11" s="40" t="n"/>
      <c r="M11" s="40" t="n"/>
      <c r="N11" s="41" t="n"/>
    </row>
    <row r="12" ht="24" customHeight="1">
      <c r="A12" s="11" t="inlineStr"/>
      <c r="B12" s="12" t="inlineStr">
        <is>
          <t>Level 3 Exposure</t>
        </is>
      </c>
      <c r="C12" s="13" t="inlineStr">
        <is>
          <t>$850,000 (29.8% of BV)</t>
        </is>
      </c>
      <c r="D12" s="40" t="n"/>
      <c r="E12" s="40" t="n"/>
      <c r="F12" s="41" t="n"/>
      <c r="G12" s="15" t="inlineStr">
        <is>
          <t>Barrier option (double-no-touch EUR/USD)</t>
        </is>
      </c>
      <c r="H12" s="40" t="n"/>
      <c r="I12" s="40" t="n"/>
      <c r="J12" s="40" t="n"/>
      <c r="K12" s="40" t="n"/>
      <c r="L12" s="40" t="n"/>
      <c r="M12" s="40" t="n"/>
      <c r="N12" s="41" t="n"/>
    </row>
    <row r="13" ht="8" customHeight="1"/>
    <row r="14" ht="22" customHeight="1">
      <c r="A14" s="18" t="inlineStr">
        <is>
          <t>POSITION SUMMARY — TOP BREACHES HIGHLIGHTED</t>
        </is>
      </c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1" t="n"/>
    </row>
    <row r="15" ht="32" customHeight="1">
      <c r="A15" s="20" t="inlineStr">
        <is>
          <t>#</t>
        </is>
      </c>
      <c r="B15" s="20" t="inlineStr">
        <is>
          <t>Position ID / Pair</t>
        </is>
      </c>
      <c r="C15" s="20" t="inlineStr">
        <is>
          <t>Type</t>
        </is>
      </c>
      <c r="D15" s="20" t="inlineStr">
        <is>
          <t>Notional
(USD equiv)</t>
        </is>
      </c>
      <c r="E15" s="20" t="inlineStr">
        <is>
          <t>Desk Mark
(Rate/Price)</t>
        </is>
      </c>
      <c r="F15" s="20" t="inlineStr">
        <is>
          <t>IPV Price</t>
        </is>
      </c>
      <c r="G15" s="20" t="inlineStr">
        <is>
          <t>% Diff</t>
        </is>
      </c>
      <c r="H15" s="20" t="inlineStr">
        <is>
          <t>Book Value
(USD)</t>
        </is>
      </c>
      <c r="I15" s="20" t="inlineStr">
        <is>
          <t>FVA
(USD)</t>
        </is>
      </c>
      <c r="J15" s="20" t="inlineStr">
        <is>
          <t>RAG</t>
        </is>
      </c>
      <c r="K15" s="20" t="inlineStr">
        <is>
          <t>Level</t>
        </is>
      </c>
      <c r="L15" s="20" t="inlineStr">
        <is>
          <t>Maturity</t>
        </is>
      </c>
      <c r="M15" s="20" t="inlineStr"/>
      <c r="N15" s="20" t="inlineStr">
        <is>
          <t>Key Risk Factor</t>
        </is>
      </c>
    </row>
    <row r="16" ht="28" customHeight="1">
      <c r="A16" s="21" t="n">
        <v>1</v>
      </c>
      <c r="B16" s="21" t="inlineStr">
        <is>
          <t>EUR/USD Spot</t>
        </is>
      </c>
      <c r="C16" s="22" t="inlineStr">
        <is>
          <t>Spot</t>
        </is>
      </c>
      <c r="D16" s="23" t="n">
        <v>150000000</v>
      </c>
      <c r="E16" s="24" t="n">
        <v>1.0825</v>
      </c>
      <c r="F16" s="24" t="n">
        <v>1.0823</v>
      </c>
      <c r="G16" s="25" t="n">
        <v>-0.0002</v>
      </c>
      <c r="H16" s="23" t="n">
        <v>850000</v>
      </c>
      <c r="I16" s="23" t="n">
        <v>-1200</v>
      </c>
      <c r="J16" s="26" t="inlineStr">
        <is>
          <t>GREEN</t>
        </is>
      </c>
      <c r="K16" s="22" t="inlineStr">
        <is>
          <t>L1</t>
        </is>
      </c>
      <c r="L16" s="22" t="inlineStr">
        <is>
          <t>Spot (T+2)</t>
        </is>
      </c>
      <c r="M16" s="41" t="n"/>
      <c r="N16" s="27" t="inlineStr">
        <is>
          <t>G10 liquid. WM/Reuters 4pm fix.</t>
        </is>
      </c>
    </row>
    <row r="17" ht="28" customHeight="1">
      <c r="A17" s="28" t="n">
        <v>2</v>
      </c>
      <c r="B17" s="28" t="inlineStr">
        <is>
          <t>GBP/USD Spot</t>
        </is>
      </c>
      <c r="C17" s="29" t="inlineStr">
        <is>
          <t>Spot</t>
        </is>
      </c>
      <c r="D17" s="30" t="n">
        <v>85000000</v>
      </c>
      <c r="E17" s="31" t="n">
        <v>1.2648</v>
      </c>
      <c r="F17" s="31" t="n">
        <v>1.2645</v>
      </c>
      <c r="G17" s="32" t="n">
        <v>-0.0002</v>
      </c>
      <c r="H17" s="30" t="n">
        <v>425000</v>
      </c>
      <c r="I17" s="30" t="n">
        <v>-680</v>
      </c>
      <c r="J17" s="26" t="inlineStr">
        <is>
          <t>GREEN</t>
        </is>
      </c>
      <c r="K17" s="29" t="inlineStr">
        <is>
          <t>L1</t>
        </is>
      </c>
      <c r="L17" s="29" t="inlineStr">
        <is>
          <t>Spot (T+2)</t>
        </is>
      </c>
      <c r="M17" s="41" t="n"/>
      <c r="N17" s="33" t="inlineStr">
        <is>
          <t>G10 liquid. Minimal spread.</t>
        </is>
      </c>
    </row>
    <row r="18" ht="28" customHeight="1">
      <c r="A18" s="21" t="n">
        <v>3</v>
      </c>
      <c r="B18" s="21" t="inlineStr">
        <is>
          <t>USD/JPY Spot</t>
        </is>
      </c>
      <c r="C18" s="22" t="inlineStr">
        <is>
          <t>Spot</t>
        </is>
      </c>
      <c r="D18" s="23" t="n">
        <v>50000000</v>
      </c>
      <c r="E18" s="24" t="n">
        <v>149.85</v>
      </c>
      <c r="F18" s="24" t="n">
        <v>149.88</v>
      </c>
      <c r="G18" s="25" t="n">
        <v>0.0002</v>
      </c>
      <c r="H18" s="23" t="n">
        <v>-150000</v>
      </c>
      <c r="I18" s="23" t="n">
        <v>300</v>
      </c>
      <c r="J18" s="26" t="inlineStr">
        <is>
          <t>GREEN</t>
        </is>
      </c>
      <c r="K18" s="22" t="inlineStr">
        <is>
          <t>L1</t>
        </is>
      </c>
      <c r="L18" s="22" t="inlineStr">
        <is>
          <t>Spot (T+2)</t>
        </is>
      </c>
      <c r="M18" s="41" t="n"/>
      <c r="N18" s="27" t="inlineStr">
        <is>
          <t>G10 liquid. Yen strength vs desk.</t>
        </is>
      </c>
    </row>
    <row r="19" ht="28" customHeight="1">
      <c r="A19" s="28" t="n">
        <v>4</v>
      </c>
      <c r="B19" s="28" t="inlineStr">
        <is>
          <t>USD/TRY Spot</t>
        </is>
      </c>
      <c r="C19" s="29" t="inlineStr">
        <is>
          <t>Spot (EM)</t>
        </is>
      </c>
      <c r="D19" s="30" t="n">
        <v>25000000</v>
      </c>
      <c r="E19" s="31" t="n">
        <v>32.45</v>
      </c>
      <c r="F19" s="31" t="n">
        <v>35.12</v>
      </c>
      <c r="G19" s="34" t="n">
        <v>8.220000000000001</v>
      </c>
      <c r="H19" s="30" t="n">
        <v>-667500</v>
      </c>
      <c r="I19" s="35" t="n">
        <v>-18500</v>
      </c>
      <c r="J19" s="36" t="inlineStr">
        <is>
          <t>RED</t>
        </is>
      </c>
      <c r="K19" s="29" t="inlineStr">
        <is>
          <t>L2</t>
        </is>
      </c>
      <c r="L19" s="29" t="inlineStr">
        <is>
          <t>Spot (T+2)</t>
        </is>
      </c>
      <c r="M19" s="41" t="n"/>
      <c r="N19" s="33" t="inlineStr">
        <is>
          <t>EM volatile. Desk stale. Lira depreciation.</t>
        </is>
      </c>
    </row>
    <row r="20" ht="28" customHeight="1">
      <c r="A20" s="21" t="n">
        <v>5</v>
      </c>
      <c r="B20" s="21" t="inlineStr">
        <is>
          <t>USD/BRL Spot</t>
        </is>
      </c>
      <c r="C20" s="22" t="inlineStr">
        <is>
          <t>Spot (EM)</t>
        </is>
      </c>
      <c r="D20" s="23" t="n">
        <v>10000000</v>
      </c>
      <c r="E20" s="24" t="n">
        <v>5.12</v>
      </c>
      <c r="F20" s="24" t="n">
        <v>5.18</v>
      </c>
      <c r="G20" s="37" t="n">
        <v>1.17</v>
      </c>
      <c r="H20" s="23" t="n">
        <v>-60000</v>
      </c>
      <c r="I20" s="23" t="n">
        <v>-1840</v>
      </c>
      <c r="J20" s="38" t="inlineStr">
        <is>
          <t>AMBER</t>
        </is>
      </c>
      <c r="K20" s="22" t="inlineStr">
        <is>
          <t>L2</t>
        </is>
      </c>
      <c r="L20" s="22" t="inlineStr">
        <is>
          <t>Spot (T+2)</t>
        </is>
      </c>
      <c r="M20" s="41" t="n"/>
      <c r="N20" s="27" t="inlineStr">
        <is>
          <t>EM moderate vol. Real weakness vs USD.</t>
        </is>
      </c>
    </row>
    <row r="21" ht="28" customHeight="1">
      <c r="A21" s="28" t="n">
        <v>6</v>
      </c>
      <c r="B21" s="28" t="inlineStr">
        <is>
          <t>EUR/USD 1Y Fwd</t>
        </is>
      </c>
      <c r="C21" s="29" t="inlineStr">
        <is>
          <t>Forward</t>
        </is>
      </c>
      <c r="D21" s="30" t="n">
        <v>120000000</v>
      </c>
      <c r="E21" s="31" t="n">
        <v>1.095</v>
      </c>
      <c r="F21" s="31" t="n">
        <v>1.0948</v>
      </c>
      <c r="G21" s="32" t="n">
        <v>-0.0002</v>
      </c>
      <c r="H21" s="30" t="n">
        <v>720000</v>
      </c>
      <c r="I21" s="30" t="n">
        <v>-4200</v>
      </c>
      <c r="J21" s="26" t="inlineStr">
        <is>
          <t>GREEN</t>
        </is>
      </c>
      <c r="K21" s="29" t="inlineStr">
        <is>
          <t>L2</t>
        </is>
      </c>
      <c r="L21" s="29" t="inlineStr">
        <is>
          <t>15-Feb-2026</t>
        </is>
      </c>
      <c r="M21" s="41" t="n"/>
      <c r="N21" s="33" t="inlineStr">
        <is>
          <t>Forward points interpolation timing.</t>
        </is>
      </c>
    </row>
    <row r="22" ht="28" customHeight="1">
      <c r="A22" s="21" t="n">
        <v>7</v>
      </c>
      <c r="B22" s="21" t="inlineStr">
        <is>
          <t>Barrier Option</t>
        </is>
      </c>
      <c r="C22" s="22" t="inlineStr">
        <is>
          <t>Exotic</t>
        </is>
      </c>
      <c r="D22" s="23" t="n">
        <v>50000000</v>
      </c>
      <c r="E22" s="22" t="inlineStr">
        <is>
          <t>N/A (option)</t>
        </is>
      </c>
      <c r="F22" s="22" t="inlineStr">
        <is>
          <t>N/A (option)</t>
        </is>
      </c>
      <c r="G22" s="22" t="inlineStr">
        <is>
          <t>N/A</t>
        </is>
      </c>
      <c r="H22" s="23" t="n">
        <v>850000</v>
      </c>
      <c r="I22" s="39" t="n">
        <v>-21700</v>
      </c>
      <c r="J22" s="36" t="inlineStr">
        <is>
          <t>RED</t>
        </is>
      </c>
      <c r="K22" s="22" t="inlineStr">
        <is>
          <t>L3</t>
        </is>
      </c>
      <c r="L22" s="22" t="inlineStr">
        <is>
          <t>31-Dec-2025</t>
        </is>
      </c>
      <c r="M22" s="41" t="n"/>
      <c r="N22" s="27" t="inlineStr">
        <is>
          <t>Double-no-touch. Vol surface uncertainty.</t>
        </is>
      </c>
    </row>
  </sheetData>
  <mergeCells count="27">
    <mergeCell ref="L17:M17"/>
    <mergeCell ref="G12:N12"/>
    <mergeCell ref="C8:F8"/>
    <mergeCell ref="L16:M16"/>
    <mergeCell ref="G11:N11"/>
    <mergeCell ref="C7:F7"/>
    <mergeCell ref="L19:M19"/>
    <mergeCell ref="A1:N1"/>
    <mergeCell ref="G8:N8"/>
    <mergeCell ref="G7:N7"/>
    <mergeCell ref="C6:F6"/>
    <mergeCell ref="L18:M18"/>
    <mergeCell ref="G10:N10"/>
    <mergeCell ref="G6:N6"/>
    <mergeCell ref="C5:F5"/>
    <mergeCell ref="L20:M20"/>
    <mergeCell ref="A2:N2"/>
    <mergeCell ref="G5:N5"/>
    <mergeCell ref="C10:F10"/>
    <mergeCell ref="A14:N14"/>
    <mergeCell ref="L22:M22"/>
    <mergeCell ref="C9:F9"/>
    <mergeCell ref="L21:M21"/>
    <mergeCell ref="A4:N4"/>
    <mergeCell ref="C12:F12"/>
    <mergeCell ref="C11:F11"/>
    <mergeCell ref="G9:N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28" customWidth="1" min="12" max="12"/>
  </cols>
  <sheetData>
    <row r="1" ht="34" customHeight="1">
      <c r="A1" s="42" t="inlineStr">
        <is>
          <t>FX VALUATION ASSUMPTIONS &amp; POLICY PARAMETERS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1" t="n"/>
    </row>
    <row r="2" ht="18" customHeight="1">
      <c r="A2" s="3" t="inlineStr">
        <is>
          <t>Valuation Control  |  Bank of America  |  Valuation Date: 14-Feb-2025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1" t="n"/>
    </row>
    <row r="3" ht="8" customHeight="1"/>
    <row r="4" ht="22" customHeight="1">
      <c r="A4" s="5" t="inlineStr">
        <is>
          <t>1.   WM/REUTERS FIXING RATES (4pm London Fix — Primary Source for Spot FX)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</row>
    <row r="5" ht="32" customHeight="1">
      <c r="A5" s="20" t="inlineStr"/>
      <c r="B5" s="20" t="inlineStr">
        <is>
          <t>Currency Pair</t>
        </is>
      </c>
      <c r="C5" s="20" t="inlineStr">
        <is>
          <t>WM/Reuters
4pm Fix</t>
        </is>
      </c>
      <c r="D5" s="20" t="inlineStr">
        <is>
          <t>Bid</t>
        </is>
      </c>
      <c r="E5" s="20" t="inlineStr">
        <is>
          <t>Ask</t>
        </is>
      </c>
      <c r="F5" s="20" t="inlineStr">
        <is>
          <t>Mid</t>
        </is>
      </c>
      <c r="G5" s="20" t="inlineStr">
        <is>
          <t>Spread (bps)</t>
        </is>
      </c>
      <c r="H5" s="20" t="inlineStr">
        <is>
          <t>Bloomberg
Ticker</t>
        </is>
      </c>
      <c r="I5" s="20" t="inlineStr"/>
      <c r="J5" s="20" t="inlineStr"/>
      <c r="K5" s="20" t="inlineStr"/>
      <c r="L5" s="20" t="inlineStr">
        <is>
          <t>Notes</t>
        </is>
      </c>
    </row>
    <row r="6" ht="24" customHeight="1">
      <c r="A6" s="6" t="inlineStr"/>
      <c r="B6" s="43" t="inlineStr">
        <is>
          <t>EUR/USD</t>
        </is>
      </c>
      <c r="C6" s="44" t="n">
        <v>1.0823</v>
      </c>
      <c r="D6" s="24" t="n">
        <v>1.0822</v>
      </c>
      <c r="E6" s="24" t="n">
        <v>1.0824</v>
      </c>
      <c r="F6" s="24" t="n">
        <v>1.0823</v>
      </c>
      <c r="G6" s="45" t="n">
        <v>2</v>
      </c>
      <c r="H6" s="46" t="inlineStr">
        <is>
          <t>EURUSD WMCO Curncy</t>
        </is>
      </c>
      <c r="I6" s="40" t="n"/>
      <c r="J6" s="41" t="n"/>
      <c r="K6" s="27" t="inlineStr">
        <is>
          <t>G10 most liquid. WM/Reuters composite from 15 dealers.</t>
        </is>
      </c>
      <c r="L6" s="41" t="n"/>
    </row>
    <row r="7" ht="24" customHeight="1">
      <c r="A7" s="11" t="inlineStr"/>
      <c r="B7" s="47" t="inlineStr">
        <is>
          <t>GBP/USD</t>
        </is>
      </c>
      <c r="C7" s="44" t="n">
        <v>1.2645</v>
      </c>
      <c r="D7" s="31" t="n">
        <v>1.2643</v>
      </c>
      <c r="E7" s="31" t="n">
        <v>1.2647</v>
      </c>
      <c r="F7" s="31" t="n">
        <v>1.2645</v>
      </c>
      <c r="G7" s="48" t="n">
        <v>4</v>
      </c>
      <c r="H7" s="49" t="inlineStr">
        <is>
          <t>GBPUSD WMCO Curncy</t>
        </is>
      </c>
      <c r="I7" s="40" t="n"/>
      <c r="J7" s="41" t="n"/>
      <c r="K7" s="33" t="inlineStr">
        <is>
          <t>G10 liquid. Slightly wider spread vs EUR.</t>
        </is>
      </c>
      <c r="L7" s="41" t="n"/>
    </row>
    <row r="8" ht="24" customHeight="1">
      <c r="A8" s="6" t="inlineStr"/>
      <c r="B8" s="43" t="inlineStr">
        <is>
          <t>USD/JPY</t>
        </is>
      </c>
      <c r="C8" s="50" t="n">
        <v>149.88</v>
      </c>
      <c r="D8" s="51" t="n">
        <v>149.86</v>
      </c>
      <c r="E8" s="51" t="n">
        <v>149.9</v>
      </c>
      <c r="F8" s="51" t="n">
        <v>149.88</v>
      </c>
      <c r="G8" s="45" t="n">
        <v>4</v>
      </c>
      <c r="H8" s="46" t="inlineStr">
        <is>
          <t>USDJPY WMCO Curncy</t>
        </is>
      </c>
      <c r="I8" s="40" t="n"/>
      <c r="J8" s="41" t="n"/>
      <c r="K8" s="27" t="inlineStr">
        <is>
          <t>G10 liquid. Yen quoted in JPY per USD.</t>
        </is>
      </c>
      <c r="L8" s="41" t="n"/>
    </row>
    <row r="9" ht="24" customHeight="1">
      <c r="A9" s="11" t="inlineStr"/>
      <c r="B9" s="47" t="inlineStr">
        <is>
          <t>USD/TRY</t>
        </is>
      </c>
      <c r="C9" s="50" t="n">
        <v>35.12</v>
      </c>
      <c r="D9" s="52" t="n">
        <v>35.08</v>
      </c>
      <c r="E9" s="52" t="n">
        <v>35.16</v>
      </c>
      <c r="F9" s="52" t="n">
        <v>35.12</v>
      </c>
      <c r="G9" s="48" t="n">
        <v>23</v>
      </c>
      <c r="H9" s="49" t="inlineStr">
        <is>
          <t>USDTRY WMCO Curncy</t>
        </is>
      </c>
      <c r="I9" s="40" t="n"/>
      <c r="J9" s="41" t="n"/>
      <c r="K9" s="33" t="inlineStr">
        <is>
          <t>EM volatile. Wide spread. Lira depreciation trend.</t>
        </is>
      </c>
      <c r="L9" s="41" t="n"/>
    </row>
    <row r="10" ht="24" customHeight="1">
      <c r="A10" s="6" t="inlineStr"/>
      <c r="B10" s="43" t="inlineStr">
        <is>
          <t>USD/BRL</t>
        </is>
      </c>
      <c r="C10" s="44" t="n">
        <v>5.18</v>
      </c>
      <c r="D10" s="24" t="n">
        <v>5.17</v>
      </c>
      <c r="E10" s="24" t="n">
        <v>5.19</v>
      </c>
      <c r="F10" s="24" t="n">
        <v>5.18</v>
      </c>
      <c r="G10" s="45" t="n">
        <v>39</v>
      </c>
      <c r="H10" s="46" t="inlineStr">
        <is>
          <t>USDBRL WMCO Curncy</t>
        </is>
      </c>
      <c r="I10" s="40" t="n"/>
      <c r="J10" s="41" t="n"/>
      <c r="K10" s="27" t="inlineStr">
        <is>
          <t>EM moderate vol. Real weakness. Political uncertainty.</t>
        </is>
      </c>
      <c r="L10" s="41" t="n"/>
    </row>
    <row r="11" ht="8" customHeight="1"/>
    <row r="12" ht="22" customHeight="1">
      <c r="A12" s="53" t="inlineStr">
        <is>
          <t>2.   FORWARD POINTS &amp; SWAP RATES (for EUR/USD 1Y Forward)</t>
        </is>
      </c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1" t="n"/>
    </row>
    <row r="13">
      <c r="A13" s="55" t="inlineStr">
        <is>
          <t>Forward Points = Spot × (1 + Interest Rate Differential × Days/360). EUR/USD 1Y forward = Spot 1.0823 + Forward Points 127 pips = 1.0950 outright forward rate.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1" t="n"/>
    </row>
    <row r="14" ht="32" customHeight="1">
      <c r="A14" s="57" t="inlineStr"/>
      <c r="B14" s="57" t="inlineStr">
        <is>
          <t>Tenor</t>
        </is>
      </c>
      <c r="C14" s="57" t="inlineStr">
        <is>
          <t>Spot Rate</t>
        </is>
      </c>
      <c r="D14" s="57" t="inlineStr">
        <is>
          <t>EUR Interest
Rate (ECB)</t>
        </is>
      </c>
      <c r="E14" s="57" t="inlineStr">
        <is>
          <t>USD Interest
Rate (Fed)</t>
        </is>
      </c>
      <c r="F14" s="57" t="inlineStr">
        <is>
          <t>Interest Rate
Differential</t>
        </is>
      </c>
      <c r="G14" s="57" t="inlineStr">
        <is>
          <t>Days</t>
        </is>
      </c>
      <c r="H14" s="57" t="inlineStr">
        <is>
          <t>Forward
Points (pips)</t>
        </is>
      </c>
      <c r="I14" s="57" t="inlineStr">
        <is>
          <t>Outright
Forward Rate</t>
        </is>
      </c>
      <c r="J14" s="57" t="inlineStr"/>
      <c r="K14" s="57" t="inlineStr"/>
      <c r="L14" s="57" t="inlineStr">
        <is>
          <t>Calculation Note</t>
        </is>
      </c>
    </row>
    <row r="15" ht="24" customHeight="1">
      <c r="A15" s="6" t="inlineStr"/>
      <c r="B15" s="21" t="inlineStr">
        <is>
          <t>1 Month</t>
        </is>
      </c>
      <c r="C15" s="24" t="n">
        <v>1.0823</v>
      </c>
      <c r="D15" s="58" t="n">
        <v>0.0425</v>
      </c>
      <c r="E15" s="58" t="n">
        <v>0.0525</v>
      </c>
      <c r="F15" s="58" t="n">
        <v>-0.01</v>
      </c>
      <c r="G15" s="45" t="n">
        <v>30</v>
      </c>
      <c r="H15" s="45" t="n">
        <v>9</v>
      </c>
      <c r="I15" s="24" t="n">
        <v>1.0832</v>
      </c>
      <c r="J15" s="27" t="inlineStr">
        <is>
          <t>Points = 1.0823 × (-0.01 × 30/360) = -9 pips</t>
        </is>
      </c>
      <c r="K15" s="40" t="n"/>
      <c r="L15" s="41" t="n"/>
    </row>
    <row r="16" ht="24" customHeight="1">
      <c r="A16" s="11" t="inlineStr"/>
      <c r="B16" s="28" t="inlineStr">
        <is>
          <t>3 Month</t>
        </is>
      </c>
      <c r="C16" s="31" t="n">
        <v>1.0823</v>
      </c>
      <c r="D16" s="59" t="n">
        <v>0.0425</v>
      </c>
      <c r="E16" s="59" t="n">
        <v>0.0525</v>
      </c>
      <c r="F16" s="59" t="n">
        <v>-0.01</v>
      </c>
      <c r="G16" s="48" t="n">
        <v>90</v>
      </c>
      <c r="H16" s="48" t="n">
        <v>27</v>
      </c>
      <c r="I16" s="31" t="n">
        <v>1.085</v>
      </c>
      <c r="J16" s="33" t="inlineStr">
        <is>
          <t>Points = 1.0823 × (-0.01 × 90/360) = -27 pips</t>
        </is>
      </c>
      <c r="K16" s="40" t="n"/>
      <c r="L16" s="41" t="n"/>
    </row>
    <row r="17" ht="24" customHeight="1">
      <c r="A17" s="6" t="inlineStr"/>
      <c r="B17" s="21" t="inlineStr">
        <is>
          <t>6 Month</t>
        </is>
      </c>
      <c r="C17" s="24" t="n">
        <v>1.0823</v>
      </c>
      <c r="D17" s="58" t="n">
        <v>0.0425</v>
      </c>
      <c r="E17" s="58" t="n">
        <v>0.0525</v>
      </c>
      <c r="F17" s="58" t="n">
        <v>-0.01</v>
      </c>
      <c r="G17" s="45" t="n">
        <v>180</v>
      </c>
      <c r="H17" s="45" t="n">
        <v>54</v>
      </c>
      <c r="I17" s="24" t="n">
        <v>1.0877</v>
      </c>
      <c r="J17" s="27" t="inlineStr">
        <is>
          <t>Points = 1.0823 × (-0.01 × 180/360) = -54 pips</t>
        </is>
      </c>
      <c r="K17" s="40" t="n"/>
      <c r="L17" s="41" t="n"/>
    </row>
    <row r="18" ht="24" customHeight="1">
      <c r="A18" s="11" t="inlineStr"/>
      <c r="B18" s="28" t="inlineStr">
        <is>
          <t>1 Year</t>
        </is>
      </c>
      <c r="C18" s="31" t="n">
        <v>1.0823</v>
      </c>
      <c r="D18" s="59" t="n">
        <v>0.0425</v>
      </c>
      <c r="E18" s="59" t="n">
        <v>0.0525</v>
      </c>
      <c r="F18" s="59" t="n">
        <v>-0.01</v>
      </c>
      <c r="G18" s="48" t="n">
        <v>360</v>
      </c>
      <c r="H18" s="48" t="n">
        <v>108</v>
      </c>
      <c r="I18" s="60" t="n">
        <v>1.0931</v>
      </c>
      <c r="J18" s="33" t="inlineStr">
        <is>
          <t>Points = 1.0823 × (-0.01 × 360/360) = -108 pips. Desk has 1.0950 (stale curve).</t>
        </is>
      </c>
      <c r="K18" s="40" t="n"/>
      <c r="L18" s="41" t="n"/>
    </row>
    <row r="19" ht="8" customHeight="1"/>
    <row r="20" ht="22" customHeight="1">
      <c r="A20" s="61" t="inlineStr">
        <is>
          <t>3.   IPV TOLERANCE THRESHOLDS (FX-Specific Policy)</t>
        </is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1" t="n"/>
    </row>
    <row r="21" ht="32" customHeight="1">
      <c r="A21" s="63" t="inlineStr"/>
      <c r="B21" s="63" t="inlineStr">
        <is>
          <t>Category</t>
        </is>
      </c>
      <c r="C21" s="63" t="inlineStr">
        <is>
          <t>Threshold %</t>
        </is>
      </c>
      <c r="D21" s="63" t="inlineStr">
        <is>
          <t>Threshold bps</t>
        </is>
      </c>
      <c r="E21" s="63" t="inlineStr"/>
      <c r="F21" s="63" t="inlineStr">
        <is>
          <t>RAG Status Logic</t>
        </is>
      </c>
      <c r="G21" s="63" t="inlineStr"/>
      <c r="H21" s="63" t="inlineStr"/>
      <c r="I21" s="63" t="inlineStr"/>
      <c r="J21" s="63" t="inlineStr"/>
      <c r="K21" s="63" t="inlineStr"/>
      <c r="L21" s="63" t="inlineStr">
        <is>
          <t>Rationale</t>
        </is>
      </c>
    </row>
    <row r="22" ht="28" customHeight="1">
      <c r="A22" s="6" t="inlineStr"/>
      <c r="B22" s="64" t="inlineStr">
        <is>
          <t>G10 Spot (EUR, GBP, JPY)</t>
        </is>
      </c>
      <c r="C22" s="22" t="inlineStr">
        <is>
          <t>±0.05%</t>
        </is>
      </c>
      <c r="D22" s="22" t="inlineStr">
        <is>
          <t>±5 bps</t>
        </is>
      </c>
      <c r="E22" s="41" t="n"/>
      <c r="F22" s="65" t="inlineStr">
        <is>
          <t>GREEN: &lt;5bps | AMBER: 5-10bps | RED: &gt;10bps</t>
        </is>
      </c>
      <c r="G22" s="40" t="n"/>
      <c r="H22" s="40" t="n"/>
      <c r="I22" s="40" t="n"/>
      <c r="J22" s="41" t="n"/>
      <c r="K22" s="27" t="inlineStr">
        <is>
          <t>Deep liquidity. Tight spreads. 5bps tolerance reflects minimal pricing uncertainty.</t>
        </is>
      </c>
      <c r="L22" s="41" t="n"/>
    </row>
    <row r="23" ht="28" customHeight="1">
      <c r="A23" s="11" t="inlineStr"/>
      <c r="B23" s="66" t="inlineStr">
        <is>
          <t>EM Spot (TRY, BRL)</t>
        </is>
      </c>
      <c r="C23" s="29" t="inlineStr">
        <is>
          <t>±2.0%</t>
        </is>
      </c>
      <c r="D23" s="29" t="inlineStr">
        <is>
          <t>±200 bps</t>
        </is>
      </c>
      <c r="E23" s="41" t="n"/>
      <c r="F23" s="67" t="inlineStr">
        <is>
          <t>GREEN: &lt;2% | AMBER: 2-5% | RED: &gt;5%</t>
        </is>
      </c>
      <c r="G23" s="40" t="n"/>
      <c r="H23" s="40" t="n"/>
      <c r="I23" s="40" t="n"/>
      <c r="J23" s="41" t="n"/>
      <c r="K23" s="33" t="inlineStr">
        <is>
          <t>High volatility. Wide spreads. 2% tolerance reflects EM market conditions.</t>
        </is>
      </c>
      <c r="L23" s="41" t="n"/>
    </row>
    <row r="24" ht="28" customHeight="1">
      <c r="A24" s="6" t="inlineStr"/>
      <c r="B24" s="64" t="inlineStr">
        <is>
          <t>FX Forwards (1Y EUR/USD)</t>
        </is>
      </c>
      <c r="C24" s="22" t="inlineStr">
        <is>
          <t>±0.10%</t>
        </is>
      </c>
      <c r="D24" s="22" t="inlineStr">
        <is>
          <t>±10 bps</t>
        </is>
      </c>
      <c r="E24" s="41" t="n"/>
      <c r="F24" s="65" t="inlineStr">
        <is>
          <t>GREEN: &lt;10bps | AMBER: 10-20bps | RED: &gt;20bps</t>
        </is>
      </c>
      <c r="G24" s="40" t="n"/>
      <c r="H24" s="40" t="n"/>
      <c r="I24" s="40" t="n"/>
      <c r="J24" s="41" t="n"/>
      <c r="K24" s="27" t="inlineStr">
        <is>
          <t>Forward points interpolation risk. Slightly wider than spot tolerance.</t>
        </is>
      </c>
      <c r="L24" s="41" t="n"/>
    </row>
    <row r="25" ht="28" customHeight="1">
      <c r="A25" s="11" t="inlineStr"/>
      <c r="B25" s="66" t="inlineStr">
        <is>
          <t>FX Options (Barrier)</t>
        </is>
      </c>
      <c r="C25" s="29" t="inlineStr">
        <is>
          <t>±5.0%</t>
        </is>
      </c>
      <c r="D25" s="29" t="inlineStr">
        <is>
          <t>±500 bps</t>
        </is>
      </c>
      <c r="E25" s="41" t="n"/>
      <c r="F25" s="67" t="inlineStr">
        <is>
          <t>GREEN: &lt;5% | AMBER: 5-10% | RED: &gt;10%</t>
        </is>
      </c>
      <c r="G25" s="40" t="n"/>
      <c r="H25" s="40" t="n"/>
      <c r="I25" s="40" t="n"/>
      <c r="J25" s="41" t="n"/>
      <c r="K25" s="33" t="inlineStr">
        <is>
          <t>Model-based. Vol surface calibration uncertainty. Wide tolerance reflects model risk.</t>
        </is>
      </c>
      <c r="L25" s="41" t="n"/>
    </row>
  </sheetData>
  <mergeCells count="32">
    <mergeCell ref="K25:L25"/>
    <mergeCell ref="K24:L24"/>
    <mergeCell ref="K9:L9"/>
    <mergeCell ref="F25:J25"/>
    <mergeCell ref="D22:E22"/>
    <mergeCell ref="H7:J7"/>
    <mergeCell ref="A2:L2"/>
    <mergeCell ref="H6:J6"/>
    <mergeCell ref="J16:L16"/>
    <mergeCell ref="F24:J24"/>
    <mergeCell ref="K22:L22"/>
    <mergeCell ref="A12:N12"/>
    <mergeCell ref="K8:L8"/>
    <mergeCell ref="J18:L18"/>
    <mergeCell ref="F23:J23"/>
    <mergeCell ref="H8:J8"/>
    <mergeCell ref="A13:L13"/>
    <mergeCell ref="K23:L23"/>
    <mergeCell ref="F22:J22"/>
    <mergeCell ref="J17:L17"/>
    <mergeCell ref="D25:E25"/>
    <mergeCell ref="K7:L7"/>
    <mergeCell ref="H10:J10"/>
    <mergeCell ref="D24:E24"/>
    <mergeCell ref="A4:N4"/>
    <mergeCell ref="A20:N20"/>
    <mergeCell ref="A1:L1"/>
    <mergeCell ref="K10:L10"/>
    <mergeCell ref="D23:E23"/>
    <mergeCell ref="H9:J9"/>
    <mergeCell ref="K6:L6"/>
    <mergeCell ref="J15:L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6" customWidth="1" min="4" max="4"/>
    <col width="20" customWidth="1" min="5" max="5"/>
    <col width="32" customWidth="1" min="6" max="6"/>
  </cols>
  <sheetData>
    <row r="1" ht="34" customHeight="1">
      <c r="A1" s="42" t="inlineStr">
        <is>
          <t>FX DATA SOURCING GUIDE — Bloomberg Fields &amp; Market Conventions</t>
        </is>
      </c>
      <c r="B1" s="40" t="n"/>
      <c r="C1" s="40" t="n"/>
      <c r="D1" s="40" t="n"/>
      <c r="E1" s="40" t="n"/>
      <c r="F1" s="41" t="n"/>
    </row>
    <row r="2" ht="8" customHeight="1"/>
    <row r="3" ht="22" customHeight="1">
      <c r="A3" s="68" t="inlineStr">
        <is>
          <t>1.   SPOT FX RATES — WM/REUTERS 4PM LONDON FIX (Primary IPV Source)</t>
        </is>
      </c>
      <c r="B3" s="40" t="n"/>
      <c r="C3" s="40" t="n"/>
      <c r="D3" s="40" t="n"/>
      <c r="E3" s="40" t="n"/>
      <c r="F3" s="41" t="n"/>
    </row>
    <row r="4" ht="32" customHeight="1">
      <c r="A4" s="20" t="inlineStr"/>
      <c r="B4" s="20" t="inlineStr">
        <is>
          <t>Currency Pair</t>
        </is>
      </c>
      <c r="C4" s="20" t="inlineStr">
        <is>
          <t>Bloomberg Ticker</t>
        </is>
      </c>
      <c r="D4" s="20" t="inlineStr">
        <is>
          <t>BDP Field Name</t>
        </is>
      </c>
      <c r="E4" s="20" t="inlineStr">
        <is>
          <t>Alternative Sources</t>
        </is>
      </c>
      <c r="F4" s="20" t="inlineStr">
        <is>
          <t>Interview Key Phrase</t>
        </is>
      </c>
    </row>
    <row r="5" ht="32" customHeight="1">
      <c r="A5" s="6" t="inlineStr"/>
      <c r="B5" s="43" t="inlineStr">
        <is>
          <t>EUR/USD</t>
        </is>
      </c>
      <c r="C5" s="69" t="inlineStr">
        <is>
          <t>EURUSD WMCO Curncy</t>
        </is>
      </c>
      <c r="D5" s="22" t="inlineStr">
        <is>
          <t>PX_LAST</t>
        </is>
      </c>
      <c r="E5" s="70" t="inlineStr">
        <is>
          <t>Reuters WMCO, ECB Reference Rate</t>
        </is>
      </c>
      <c r="F5" s="71" t="inlineStr">
        <is>
          <t>Use WMCO for WM/Reuters 4pm fix. This is the global benchmark for FX valuations. Desk should use same source.</t>
        </is>
      </c>
    </row>
    <row r="6" ht="32" customHeight="1">
      <c r="A6" s="11" t="inlineStr"/>
      <c r="B6" s="47" t="inlineStr">
        <is>
          <t>GBP/USD</t>
        </is>
      </c>
      <c r="C6" s="69" t="inlineStr">
        <is>
          <t>GBPUSD WMCO Curncy</t>
        </is>
      </c>
      <c r="D6" s="29" t="inlineStr">
        <is>
          <t>PX_LAST</t>
        </is>
      </c>
      <c r="E6" s="72" t="inlineStr">
        <is>
          <t>Reuters WMCO, BoE Reference Rate</t>
        </is>
      </c>
      <c r="F6" s="73" t="inlineStr">
        <is>
          <t>WMCO composite from 15+ dealers. Most reliable for IPV.</t>
        </is>
      </c>
    </row>
    <row r="7" ht="32" customHeight="1">
      <c r="A7" s="6" t="inlineStr"/>
      <c r="B7" s="43" t="inlineStr">
        <is>
          <t>USD/JPY</t>
        </is>
      </c>
      <c r="C7" s="69" t="inlineStr">
        <is>
          <t>USDJPY WMCO Curncy</t>
        </is>
      </c>
      <c r="D7" s="22" t="inlineStr">
        <is>
          <t>PX_LAST</t>
        </is>
      </c>
      <c r="E7" s="70" t="inlineStr">
        <is>
          <t>Reuters WMCO, BoJ Reference Rate</t>
        </is>
      </c>
      <c r="F7" s="71" t="inlineStr">
        <is>
          <t>Yen quoted as JPY per USD (indirect quote). WMCO handles this correctly.</t>
        </is>
      </c>
    </row>
    <row r="8" ht="32" customHeight="1">
      <c r="A8" s="11" t="inlineStr"/>
      <c r="B8" s="47" t="inlineStr">
        <is>
          <t>USD/TRY</t>
        </is>
      </c>
      <c r="C8" s="69" t="inlineStr">
        <is>
          <t>USDTRY WMCO Curncy</t>
        </is>
      </c>
      <c r="D8" s="29" t="inlineStr">
        <is>
          <t>PX_LAST</t>
        </is>
      </c>
      <c r="E8" s="72" t="inlineStr">
        <is>
          <t>Reuters WMCO, CBRT Indicative</t>
        </is>
      </c>
      <c r="F8" s="73" t="inlineStr">
        <is>
          <t>EM currency. WMCO coverage limited. May need broker quotes as backup.</t>
        </is>
      </c>
    </row>
    <row r="9" ht="32" customHeight="1">
      <c r="A9" s="6" t="inlineStr"/>
      <c r="B9" s="43" t="inlineStr">
        <is>
          <t>USD/BRL</t>
        </is>
      </c>
      <c r="C9" s="69" t="inlineStr">
        <is>
          <t>USDBRL WMCO Curncy</t>
        </is>
      </c>
      <c r="D9" s="22" t="inlineStr">
        <is>
          <t>PX_LAST</t>
        </is>
      </c>
      <c r="E9" s="70" t="inlineStr">
        <is>
          <t>Reuters WMCO, BCB PTAX</t>
        </is>
      </c>
      <c r="F9" s="71" t="inlineStr">
        <is>
          <t>EM currency. BCB PTAX (Brazilian CB fix) is alternative. WMCO preferred for consistency.</t>
        </is>
      </c>
    </row>
    <row r="10" ht="8" customHeight="1"/>
    <row r="11" ht="22" customHeight="1">
      <c r="A11" s="53" t="inlineStr">
        <is>
          <t>2.   FX FORWARD CURVES (For Forward Pricing)</t>
        </is>
      </c>
      <c r="B11" s="40" t="n"/>
      <c r="C11" s="40" t="n"/>
      <c r="D11" s="40" t="n"/>
      <c r="E11" s="40" t="n"/>
      <c r="F11" s="41" t="n"/>
    </row>
    <row r="12" ht="32" customHeight="1">
      <c r="A12" s="57" t="inlineStr"/>
      <c r="B12" s="57" t="inlineStr">
        <is>
          <t>Curve Type</t>
        </is>
      </c>
      <c r="C12" s="57" t="inlineStr">
        <is>
          <t>Bloomberg Screen</t>
        </is>
      </c>
      <c r="D12" s="57" t="inlineStr">
        <is>
          <t>Key Fields</t>
        </is>
      </c>
      <c r="E12" s="57" t="inlineStr">
        <is>
          <t>Interpolation Method</t>
        </is>
      </c>
      <c r="F12" s="57" t="inlineStr">
        <is>
          <t>Interview Note</t>
        </is>
      </c>
    </row>
    <row r="13" ht="28" customHeight="1">
      <c r="A13" s="6" t="inlineStr"/>
      <c r="B13" s="74" t="inlineStr">
        <is>
          <t>EUR/USD Forward Points</t>
        </is>
      </c>
      <c r="C13" s="75" t="inlineStr">
        <is>
          <t>FXFA &lt;GO&gt;</t>
        </is>
      </c>
      <c r="D13" s="76" t="inlineStr">
        <is>
          <t>FWD_CURVE_MID (tenors 1M, 3M, 6M, 1Y)</t>
        </is>
      </c>
      <c r="E13" s="70" t="inlineStr">
        <is>
          <t>Linear interpolation for non-standard tenors</t>
        </is>
      </c>
      <c r="F13" s="71" t="inlineStr">
        <is>
          <t>Forward points = interest rate differential. Bloomberg FXFA aggregates dealer quotes.</t>
        </is>
      </c>
    </row>
    <row r="14" ht="28" customHeight="1">
      <c r="A14" s="11" t="inlineStr"/>
      <c r="B14" s="77" t="inlineStr">
        <is>
          <t>Cross-Currency Basis</t>
        </is>
      </c>
      <c r="C14" s="75" t="inlineStr">
        <is>
          <t>XCCY &lt;GO&gt;</t>
        </is>
      </c>
      <c r="D14" s="78" t="inlineStr">
        <is>
          <t>BASIS_SWAP_SPREAD (USD/EUR 1Y basis)</t>
        </is>
      </c>
      <c r="E14" s="72" t="inlineStr">
        <is>
          <t>Applied on top of interest rate differential</t>
        </is>
      </c>
      <c r="F14" s="73" t="inlineStr">
        <is>
          <t>EUR/USD basis swap spread affects forward pricing. Typically -20 to -30 bps.</t>
        </is>
      </c>
    </row>
    <row r="15" ht="8" customHeight="1"/>
    <row r="16" ht="22" customHeight="1">
      <c r="A16" s="79" t="inlineStr">
        <is>
          <t>3.   FX OPTIONS — VOLATILITY SURFACE (For Barrier Option Pricing)</t>
        </is>
      </c>
      <c r="B16" s="40" t="n"/>
      <c r="C16" s="40" t="n"/>
      <c r="D16" s="40" t="n"/>
      <c r="E16" s="40" t="n"/>
      <c r="F16" s="41" t="n"/>
    </row>
    <row r="17">
      <c r="A17" s="81" t="inlineStr">
        <is>
          <t>Barrier options require full vol surface calibration. Bloomberg OVML function provides market implied vols.</t>
        </is>
      </c>
      <c r="B17" s="40" t="n"/>
      <c r="C17" s="40" t="n"/>
      <c r="D17" s="40" t="n"/>
      <c r="E17" s="40" t="n"/>
      <c r="F17" s="41" t="n"/>
    </row>
    <row r="18" ht="32" customHeight="1">
      <c r="A18" s="83" t="inlineStr"/>
      <c r="B18" s="83" t="inlineStr">
        <is>
          <t>Vol Surface Component</t>
        </is>
      </c>
      <c r="C18" s="83" t="inlineStr">
        <is>
          <t>Bloomberg Function</t>
        </is>
      </c>
      <c r="D18" s="83" t="inlineStr">
        <is>
          <t>Key Parameters</t>
        </is>
      </c>
      <c r="E18" s="83" t="inlineStr">
        <is>
          <t>Model Input</t>
        </is>
      </c>
      <c r="F18" s="83" t="inlineStr">
        <is>
          <t>Interview Note</t>
        </is>
      </c>
    </row>
    <row r="19" ht="28" customHeight="1">
      <c r="A19" s="6" t="inlineStr"/>
      <c r="B19" s="74" t="inlineStr">
        <is>
          <t>At-The-Money Vol</t>
        </is>
      </c>
      <c r="C19" s="84" t="inlineStr">
        <is>
          <t>OVML &lt;GO&gt; → EUR/USD 1Y</t>
        </is>
      </c>
      <c r="D19" s="76" t="inlineStr">
        <is>
          <t>ATM Implied Vol = 6.8%</t>
        </is>
      </c>
      <c r="E19" s="70" t="inlineStr">
        <is>
          <t>Input to Black-Scholes</t>
        </is>
      </c>
      <c r="F19" s="71" t="inlineStr">
        <is>
          <t>ATM vol is the starting point. Market-standard for vanilla options.</t>
        </is>
      </c>
    </row>
    <row r="20" ht="28" customHeight="1">
      <c r="A20" s="11" t="inlineStr"/>
      <c r="B20" s="77" t="inlineStr">
        <is>
          <t>Risk Reversal (25-delta)</t>
        </is>
      </c>
      <c r="C20" s="84" t="inlineStr">
        <is>
          <t>OVML → 25D Risk Reversal</t>
        </is>
      </c>
      <c r="D20" s="78" t="inlineStr">
        <is>
          <t>RR = 0.8% (call vol &gt; put vol)</t>
        </is>
      </c>
      <c r="E20" s="72" t="inlineStr">
        <is>
          <t>Skew adjustment in model</t>
        </is>
      </c>
      <c r="F20" s="73" t="inlineStr">
        <is>
          <t>Measures asymmetry. Positive RR = calls more expensive than puts.</t>
        </is>
      </c>
    </row>
    <row r="21" ht="28" customHeight="1">
      <c r="A21" s="6" t="inlineStr"/>
      <c r="B21" s="74" t="inlineStr">
        <is>
          <t>Butterfly (25-delta)</t>
        </is>
      </c>
      <c r="C21" s="84" t="inlineStr">
        <is>
          <t>OVML → 25D Butterfly</t>
        </is>
      </c>
      <c r="D21" s="76" t="inlineStr">
        <is>
          <t>BF = 0.3% (wings vol &gt; ATM vol)</t>
        </is>
      </c>
      <c r="E21" s="70" t="inlineStr">
        <is>
          <t>Smile curvature</t>
        </is>
      </c>
      <c r="F21" s="71" t="inlineStr">
        <is>
          <t>Measures smile shape. Barrier options sensitive to this.</t>
        </is>
      </c>
    </row>
  </sheetData>
  <mergeCells count="5">
    <mergeCell ref="A16:F16"/>
    <mergeCell ref="A11:F11"/>
    <mergeCell ref="A1:F1"/>
    <mergeCell ref="A17:F17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</cols>
  <sheetData>
    <row r="1" ht="34" customHeight="1">
      <c r="A1" s="42" t="inlineStr">
        <is>
          <t>FX POSITIONS — TRADING BOOK SNAPSHOT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1" t="n"/>
    </row>
    <row r="2" ht="18" customHeight="1">
      <c r="A2" s="3" t="inlineStr">
        <is>
          <t>Valuation Control  |  Bank of America  |  Valuation Date: 14-Feb-2025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1" t="n"/>
    </row>
    <row r="3" ht="8" customHeight="1"/>
    <row r="4" ht="32" customHeight="1">
      <c r="A4" s="85" t="inlineStr">
        <is>
          <t>#</t>
        </is>
      </c>
      <c r="B4" s="85" t="inlineStr">
        <is>
          <t>Position ID</t>
        </is>
      </c>
      <c r="C4" s="85" t="inlineStr">
        <is>
          <t>Currency Pair</t>
        </is>
      </c>
      <c r="D4" s="85" t="inlineStr">
        <is>
          <t>Product Type</t>
        </is>
      </c>
      <c r="E4" s="85" t="inlineStr">
        <is>
          <t>Notional
(Base Ccy)</t>
        </is>
      </c>
      <c r="F4" s="85" t="inlineStr">
        <is>
          <t>Notional
(USD equiv)</t>
        </is>
      </c>
      <c r="G4" s="85" t="inlineStr">
        <is>
          <t>Desk Mark
(Rate/Price)</t>
        </is>
      </c>
      <c r="H4" s="85" t="inlineStr">
        <is>
          <t>Book Value
(USD)</t>
        </is>
      </c>
      <c r="I4" s="85" t="inlineStr">
        <is>
          <t>Maturity /
Expiry</t>
        </is>
      </c>
      <c r="J4" s="85" t="inlineStr">
        <is>
          <t>Settlement
Date</t>
        </is>
      </c>
      <c r="K4" s="85" t="inlineStr">
        <is>
          <t>Level</t>
        </is>
      </c>
      <c r="L4" s="85" t="inlineStr">
        <is>
          <t>Pricing
Source</t>
        </is>
      </c>
      <c r="M4" s="85" t="inlineStr">
        <is>
          <t>Trade Date</t>
        </is>
      </c>
      <c r="N4" s="85" t="inlineStr">
        <is>
          <t>Key Risk / Notes</t>
        </is>
      </c>
    </row>
    <row r="5" ht="28" customHeight="1">
      <c r="A5" s="21" t="n">
        <v>1</v>
      </c>
      <c r="B5" s="21" t="inlineStr">
        <is>
          <t>FX-SPOT-001</t>
        </is>
      </c>
      <c r="C5" s="43" t="inlineStr">
        <is>
          <t>EUR/USD</t>
        </is>
      </c>
      <c r="D5" s="22" t="inlineStr">
        <is>
          <t>Spot</t>
        </is>
      </c>
      <c r="E5" s="86" t="n">
        <v>150000000</v>
      </c>
      <c r="F5" s="23" t="n">
        <v>150000000</v>
      </c>
      <c r="G5" s="24" t="n">
        <v>1.0825</v>
      </c>
      <c r="H5" s="23" t="n">
        <v>162375000</v>
      </c>
      <c r="I5" s="22" t="inlineStr">
        <is>
          <t>Spot (T+2)</t>
        </is>
      </c>
      <c r="J5" s="87" t="inlineStr">
        <is>
          <t>18-Feb-2025</t>
        </is>
      </c>
      <c r="K5" s="22" t="inlineStr">
        <is>
          <t>L1</t>
        </is>
      </c>
      <c r="L5" s="88" t="inlineStr">
        <is>
          <t>WM/Reuters WMCO</t>
        </is>
      </c>
      <c r="M5" s="87" t="inlineStr">
        <is>
          <t>14-Feb-2025</t>
        </is>
      </c>
      <c r="N5" s="27" t="inlineStr">
        <is>
          <t>Long EUR 150m. G10 liquid. Minimal spread.</t>
        </is>
      </c>
    </row>
    <row r="6" ht="28" customHeight="1">
      <c r="A6" s="28" t="n">
        <v>2</v>
      </c>
      <c r="B6" s="28" t="inlineStr">
        <is>
          <t>FX-SPOT-002</t>
        </is>
      </c>
      <c r="C6" s="47" t="inlineStr">
        <is>
          <t>GBP/USD</t>
        </is>
      </c>
      <c r="D6" s="29" t="inlineStr">
        <is>
          <t>Spot</t>
        </is>
      </c>
      <c r="E6" s="89" t="n">
        <v>85000000</v>
      </c>
      <c r="F6" s="30" t="n">
        <v>85000000</v>
      </c>
      <c r="G6" s="31" t="n">
        <v>1.2648</v>
      </c>
      <c r="H6" s="30" t="n">
        <v>107508000</v>
      </c>
      <c r="I6" s="29" t="inlineStr">
        <is>
          <t>Spot (T+2)</t>
        </is>
      </c>
      <c r="J6" s="90" t="inlineStr">
        <is>
          <t>18-Feb-2025</t>
        </is>
      </c>
      <c r="K6" s="29" t="inlineStr">
        <is>
          <t>L1</t>
        </is>
      </c>
      <c r="L6" s="91" t="inlineStr">
        <is>
          <t>WM/Reuters WMCO</t>
        </is>
      </c>
      <c r="M6" s="90" t="inlineStr">
        <is>
          <t>13-Feb-2025</t>
        </is>
      </c>
      <c r="N6" s="33" t="inlineStr">
        <is>
          <t>Long GBP 85m. G10 liquid. Cable pair.</t>
        </is>
      </c>
    </row>
    <row r="7" ht="28" customHeight="1">
      <c r="A7" s="21" t="n">
        <v>3</v>
      </c>
      <c r="B7" s="21" t="inlineStr">
        <is>
          <t>FX-SPOT-003</t>
        </is>
      </c>
      <c r="C7" s="43" t="inlineStr">
        <is>
          <t>USD/JPY</t>
        </is>
      </c>
      <c r="D7" s="22" t="inlineStr">
        <is>
          <t>Spot</t>
        </is>
      </c>
      <c r="E7" s="86" t="n">
        <v>50000000</v>
      </c>
      <c r="F7" s="23" t="n">
        <v>50000000</v>
      </c>
      <c r="G7" s="51" t="n">
        <v>149.85</v>
      </c>
      <c r="H7" s="23" t="n">
        <v>50000000</v>
      </c>
      <c r="I7" s="22" t="inlineStr">
        <is>
          <t>Spot (T+2)</t>
        </is>
      </c>
      <c r="J7" s="87" t="inlineStr">
        <is>
          <t>18-Feb-2025</t>
        </is>
      </c>
      <c r="K7" s="22" t="inlineStr">
        <is>
          <t>L1</t>
        </is>
      </c>
      <c r="L7" s="88" t="inlineStr">
        <is>
          <t>WM/Reuters WMCO</t>
        </is>
      </c>
      <c r="M7" s="87" t="inlineStr">
        <is>
          <t>12-Feb-2025</t>
        </is>
      </c>
      <c r="N7" s="27" t="inlineStr">
        <is>
          <t>Short JPY (long USD). Yen strength vs desk.</t>
        </is>
      </c>
    </row>
    <row r="8" ht="28" customHeight="1">
      <c r="A8" s="28" t="n">
        <v>4</v>
      </c>
      <c r="B8" s="28" t="inlineStr">
        <is>
          <t>FX-SPOT-004</t>
        </is>
      </c>
      <c r="C8" s="47" t="inlineStr">
        <is>
          <t>USD/TRY</t>
        </is>
      </c>
      <c r="D8" s="29" t="inlineStr">
        <is>
          <t>Spot (EM)</t>
        </is>
      </c>
      <c r="E8" s="89" t="n">
        <v>25000000</v>
      </c>
      <c r="F8" s="30" t="n">
        <v>25000000</v>
      </c>
      <c r="G8" s="52" t="n">
        <v>32.45</v>
      </c>
      <c r="H8" s="30" t="n">
        <v>25000000</v>
      </c>
      <c r="I8" s="29" t="inlineStr">
        <is>
          <t>Spot (T+2)</t>
        </is>
      </c>
      <c r="J8" s="90" t="inlineStr">
        <is>
          <t>18-Feb-2025</t>
        </is>
      </c>
      <c r="K8" s="29" t="inlineStr">
        <is>
          <t>L2</t>
        </is>
      </c>
      <c r="L8" s="91" t="inlineStr">
        <is>
          <t>WM/Reuters WMCO</t>
        </is>
      </c>
      <c r="M8" s="90" t="inlineStr">
        <is>
          <t>10-Feb-2025</t>
        </is>
      </c>
      <c r="N8" s="33" t="inlineStr">
        <is>
          <t>Long USD vs TRY. EM volatile. Desk stale. RED breach.</t>
        </is>
      </c>
    </row>
    <row r="9" ht="28" customHeight="1">
      <c r="A9" s="21" t="n">
        <v>5</v>
      </c>
      <c r="B9" s="21" t="inlineStr">
        <is>
          <t>FX-SPOT-005</t>
        </is>
      </c>
      <c r="C9" s="43" t="inlineStr">
        <is>
          <t>USD/BRL</t>
        </is>
      </c>
      <c r="D9" s="22" t="inlineStr">
        <is>
          <t>Spot (EM)</t>
        </is>
      </c>
      <c r="E9" s="86" t="n">
        <v>10000000</v>
      </c>
      <c r="F9" s="23" t="n">
        <v>10000000</v>
      </c>
      <c r="G9" s="24" t="n">
        <v>5.12</v>
      </c>
      <c r="H9" s="23" t="n">
        <v>10000000</v>
      </c>
      <c r="I9" s="22" t="inlineStr">
        <is>
          <t>Spot (T+2)</t>
        </is>
      </c>
      <c r="J9" s="87" t="inlineStr">
        <is>
          <t>18-Feb-2025</t>
        </is>
      </c>
      <c r="K9" s="22" t="inlineStr">
        <is>
          <t>L2</t>
        </is>
      </c>
      <c r="L9" s="88" t="inlineStr">
        <is>
          <t>WM/Reuters WMCO</t>
        </is>
      </c>
      <c r="M9" s="87" t="inlineStr">
        <is>
          <t>11-Feb-2025</t>
        </is>
      </c>
      <c r="N9" s="27" t="inlineStr">
        <is>
          <t>Long USD vs BRL. EM moderate vol. AMBER breach.</t>
        </is>
      </c>
    </row>
    <row r="10" ht="28" customHeight="1">
      <c r="A10" s="28" t="n">
        <v>6</v>
      </c>
      <c r="B10" s="28" t="inlineStr">
        <is>
          <t>FX-FWD-001</t>
        </is>
      </c>
      <c r="C10" s="47" t="inlineStr">
        <is>
          <t>EUR/USD</t>
        </is>
      </c>
      <c r="D10" s="29" t="inlineStr">
        <is>
          <t>1Y Forward</t>
        </is>
      </c>
      <c r="E10" s="89" t="n">
        <v>120000000</v>
      </c>
      <c r="F10" s="30" t="n">
        <v>120000000</v>
      </c>
      <c r="G10" s="31" t="n">
        <v>1.095</v>
      </c>
      <c r="H10" s="30" t="n">
        <v>131400000</v>
      </c>
      <c r="I10" s="29" t="inlineStr">
        <is>
          <t>15-Feb-2026</t>
        </is>
      </c>
      <c r="J10" s="90" t="inlineStr">
        <is>
          <t>17-Feb-2026</t>
        </is>
      </c>
      <c r="K10" s="29" t="inlineStr">
        <is>
          <t>L2</t>
        </is>
      </c>
      <c r="L10" s="91" t="inlineStr">
        <is>
          <t>Bloomberg FXFA</t>
        </is>
      </c>
      <c r="M10" s="90" t="inlineStr">
        <is>
          <t>20-Jan-2025</t>
        </is>
      </c>
      <c r="N10" s="33" t="inlineStr">
        <is>
          <t>Long EUR forward. Forward points timing diff.</t>
        </is>
      </c>
    </row>
    <row r="11" ht="28" customHeight="1">
      <c r="A11" s="21" t="n">
        <v>7</v>
      </c>
      <c r="B11" s="21" t="inlineStr">
        <is>
          <t>FX-OPT-001</t>
        </is>
      </c>
      <c r="C11" s="43" t="inlineStr">
        <is>
          <t>EUR/USD</t>
        </is>
      </c>
      <c r="D11" s="22" t="inlineStr">
        <is>
          <t>Barrier (DNT)</t>
        </is>
      </c>
      <c r="E11" s="86" t="n">
        <v>50000000</v>
      </c>
      <c r="F11" s="23" t="n">
        <v>50000000</v>
      </c>
      <c r="G11" s="22" t="inlineStr">
        <is>
          <t>Premium: $425k</t>
        </is>
      </c>
      <c r="H11" s="23" t="n">
        <v>850000</v>
      </c>
      <c r="I11" s="22" t="inlineStr">
        <is>
          <t>31-Dec-2025</t>
        </is>
      </c>
      <c r="J11" s="87" t="inlineStr">
        <is>
          <t>02-Jan-2026</t>
        </is>
      </c>
      <c r="K11" s="22" t="inlineStr">
        <is>
          <t>L3</t>
        </is>
      </c>
      <c r="L11" s="88" t="inlineStr">
        <is>
          <t>Internal BS Model</t>
        </is>
      </c>
      <c r="M11" s="87" t="inlineStr">
        <is>
          <t>05-Jan-2025</t>
        </is>
      </c>
      <c r="N11" s="27" t="inlineStr">
        <is>
          <t>Double-no-touch 1.05/1.12 barriers. Vol surface calibration. RED breach (model uncertainty).</t>
        </is>
      </c>
    </row>
    <row r="12" ht="8" customHeight="1"/>
    <row r="13">
      <c r="A13" s="92" t="inlineStr">
        <is>
          <t>TOTAL NOTIONAL (USD equiv)</t>
        </is>
      </c>
      <c r="B13" s="40" t="n"/>
      <c r="C13" s="40" t="n"/>
      <c r="D13" s="40" t="n"/>
      <c r="E13" s="41" t="n"/>
      <c r="F13" s="93" t="n">
        <v>485750000</v>
      </c>
      <c r="G13" s="92" t="inlineStr">
        <is>
          <t>TOTAL BOOK VALUE (MTM)</t>
        </is>
      </c>
      <c r="H13" s="41" t="n"/>
      <c r="I13" s="94" t="inlineStr"/>
      <c r="J13" s="94" t="inlineStr"/>
      <c r="K13" s="94" t="inlineStr"/>
      <c r="L13" s="94" t="inlineStr"/>
      <c r="M13" s="94" t="inlineStr"/>
      <c r="N13" s="94" t="inlineStr"/>
    </row>
  </sheetData>
  <mergeCells count="4">
    <mergeCell ref="G13:H13"/>
    <mergeCell ref="A2:N2"/>
    <mergeCell ref="A13:E1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 ht="34" customHeight="1">
      <c r="A1" s="42" t="inlineStr">
        <is>
          <t>IPV PRICE SOURCES — INDEPENDENT VERIFICATION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1" t="n"/>
    </row>
    <row r="2" ht="8" customHeight="1"/>
    <row r="3" ht="22" customHeight="1">
      <c r="A3" s="5" t="inlineStr">
        <is>
          <t>IPV CONSENSUS PRICES (14-Feb-2025 4:00 PM London)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1" t="n"/>
    </row>
    <row r="4" ht="32" customHeight="1">
      <c r="A4" s="95" t="inlineStr">
        <is>
          <t>#</t>
        </is>
      </c>
      <c r="B4" s="95" t="inlineStr">
        <is>
          <t>Position ID</t>
        </is>
      </c>
      <c r="C4" s="95" t="inlineStr">
        <is>
          <t>Currency Pair</t>
        </is>
      </c>
      <c r="D4" s="95" t="inlineStr">
        <is>
          <t>Product Type</t>
        </is>
      </c>
      <c r="E4" s="95" t="inlineStr">
        <is>
          <t>IPV Source</t>
        </is>
      </c>
      <c r="F4" s="95" t="inlineStr">
        <is>
          <t>IPV Price
(Rate/Premium)</t>
        </is>
      </c>
      <c r="G4" s="95" t="inlineStr">
        <is>
          <t>IPV Book Value
(USD)</t>
        </is>
      </c>
      <c r="H4" s="95" t="inlineStr">
        <is>
          <t>Verification
Method</t>
        </is>
      </c>
      <c r="I4" s="95" t="inlineStr">
        <is>
          <t>Source
Reliability</t>
        </is>
      </c>
      <c r="J4" s="95" t="inlineStr">
        <is>
          <t>Last
Update</t>
        </is>
      </c>
      <c r="K4" s="95" t="inlineStr">
        <is>
          <t>Price Age</t>
        </is>
      </c>
      <c r="L4" s="95" t="inlineStr">
        <is>
          <t>Notes / Methodology</t>
        </is>
      </c>
    </row>
    <row r="5" ht="28" customHeight="1">
      <c r="A5" s="21" t="n">
        <v>1</v>
      </c>
      <c r="B5" s="21" t="inlineStr">
        <is>
          <t>FX-SPOT-001</t>
        </is>
      </c>
      <c r="C5" s="43" t="inlineStr">
        <is>
          <t>EUR/USD</t>
        </is>
      </c>
      <c r="D5" s="22" t="inlineStr">
        <is>
          <t>Spot</t>
        </is>
      </c>
      <c r="E5" s="96" t="inlineStr">
        <is>
          <t>WM/Reuters 4pm Fix</t>
        </is>
      </c>
      <c r="F5" s="24" t="n">
        <v>1.0823</v>
      </c>
      <c r="G5" s="97" t="n">
        <v>162300000</v>
      </c>
      <c r="H5" s="22" t="inlineStr">
        <is>
          <t>Direct observable</t>
        </is>
      </c>
      <c r="I5" s="98" t="inlineStr">
        <is>
          <t>Very High</t>
        </is>
      </c>
      <c r="J5" s="87" t="inlineStr">
        <is>
          <t>14-Feb 16:00</t>
        </is>
      </c>
      <c r="K5" s="87" t="inlineStr">
        <is>
          <t>Real-time</t>
        </is>
      </c>
      <c r="L5" s="27" t="inlineStr">
        <is>
          <t>Composite from 15+ dealers. Gold standard for FX IPV.</t>
        </is>
      </c>
    </row>
    <row r="6" ht="28" customHeight="1">
      <c r="A6" s="28" t="n">
        <v>2</v>
      </c>
      <c r="B6" s="28" t="inlineStr">
        <is>
          <t>FX-SPOT-002</t>
        </is>
      </c>
      <c r="C6" s="47" t="inlineStr">
        <is>
          <t>GBP/USD</t>
        </is>
      </c>
      <c r="D6" s="29" t="inlineStr">
        <is>
          <t>Spot</t>
        </is>
      </c>
      <c r="E6" s="96" t="inlineStr">
        <is>
          <t>WM/Reuters 4pm Fix</t>
        </is>
      </c>
      <c r="F6" s="31" t="n">
        <v>1.2645</v>
      </c>
      <c r="G6" s="99" t="n">
        <v>107462250</v>
      </c>
      <c r="H6" s="29" t="inlineStr">
        <is>
          <t>Direct observable</t>
        </is>
      </c>
      <c r="I6" s="98" t="inlineStr">
        <is>
          <t>Very High</t>
        </is>
      </c>
      <c r="J6" s="90" t="inlineStr">
        <is>
          <t>14-Feb 16:00</t>
        </is>
      </c>
      <c r="K6" s="90" t="inlineStr">
        <is>
          <t>Real-time</t>
        </is>
      </c>
      <c r="L6" s="33" t="inlineStr">
        <is>
          <t>Cable pair. WM/Reuters covers all G10.</t>
        </is>
      </c>
    </row>
    <row r="7" ht="28" customHeight="1">
      <c r="A7" s="21" t="n">
        <v>3</v>
      </c>
      <c r="B7" s="21" t="inlineStr">
        <is>
          <t>FX-SPOT-003</t>
        </is>
      </c>
      <c r="C7" s="43" t="inlineStr">
        <is>
          <t>USD/JPY</t>
        </is>
      </c>
      <c r="D7" s="22" t="inlineStr">
        <is>
          <t>Spot</t>
        </is>
      </c>
      <c r="E7" s="96" t="inlineStr">
        <is>
          <t>WM/Reuters 4pm Fix</t>
        </is>
      </c>
      <c r="F7" s="51" t="n">
        <v>149.88</v>
      </c>
      <c r="G7" s="97" t="n">
        <v>50000000</v>
      </c>
      <c r="H7" s="22" t="inlineStr">
        <is>
          <t>Direct observable</t>
        </is>
      </c>
      <c r="I7" s="98" t="inlineStr">
        <is>
          <t>Very High</t>
        </is>
      </c>
      <c r="J7" s="87" t="inlineStr">
        <is>
          <t>14-Feb 16:00</t>
        </is>
      </c>
      <c r="K7" s="87" t="inlineStr">
        <is>
          <t>Real-time</t>
        </is>
      </c>
      <c r="L7" s="27" t="inlineStr">
        <is>
          <t>Yen strength. Indirect quote (JPY per USD).</t>
        </is>
      </c>
    </row>
    <row r="8" ht="28" customHeight="1">
      <c r="A8" s="28" t="n">
        <v>4</v>
      </c>
      <c r="B8" s="28" t="inlineStr">
        <is>
          <t>FX-SPOT-004</t>
        </is>
      </c>
      <c r="C8" s="47" t="inlineStr">
        <is>
          <t>USD/TRY</t>
        </is>
      </c>
      <c r="D8" s="29" t="inlineStr">
        <is>
          <t>Spot (EM)</t>
        </is>
      </c>
      <c r="E8" s="96" t="inlineStr">
        <is>
          <t>WM/Reuters 4pm Fix</t>
        </is>
      </c>
      <c r="F8" s="52" t="n">
        <v>35.12</v>
      </c>
      <c r="G8" s="99" t="n">
        <v>25000000</v>
      </c>
      <c r="H8" s="29" t="inlineStr">
        <is>
          <t>Direct observable</t>
        </is>
      </c>
      <c r="I8" s="100" t="inlineStr">
        <is>
          <t>High</t>
        </is>
      </c>
      <c r="J8" s="90" t="inlineStr">
        <is>
          <t>14-Feb 16:00</t>
        </is>
      </c>
      <c r="K8" s="90" t="inlineStr">
        <is>
          <t>Real-time</t>
        </is>
      </c>
      <c r="L8" s="33" t="inlineStr">
        <is>
          <t>EM volatile. Desk mark 32.45 is stale (8.2% diff).</t>
        </is>
      </c>
    </row>
    <row r="9" ht="28" customHeight="1">
      <c r="A9" s="21" t="n">
        <v>5</v>
      </c>
      <c r="B9" s="21" t="inlineStr">
        <is>
          <t>FX-SPOT-005</t>
        </is>
      </c>
      <c r="C9" s="43" t="inlineStr">
        <is>
          <t>USD/BRL</t>
        </is>
      </c>
      <c r="D9" s="22" t="inlineStr">
        <is>
          <t>Spot (EM)</t>
        </is>
      </c>
      <c r="E9" s="96" t="inlineStr">
        <is>
          <t>WM/Reuters 4pm Fix</t>
        </is>
      </c>
      <c r="F9" s="24" t="n">
        <v>5.18</v>
      </c>
      <c r="G9" s="97" t="n">
        <v>10000000</v>
      </c>
      <c r="H9" s="22" t="inlineStr">
        <is>
          <t>Direct observable</t>
        </is>
      </c>
      <c r="I9" s="100" t="inlineStr">
        <is>
          <t>High</t>
        </is>
      </c>
      <c r="J9" s="87" t="inlineStr">
        <is>
          <t>14-Feb 16:00</t>
        </is>
      </c>
      <c r="K9" s="87" t="inlineStr">
        <is>
          <t>Real-time</t>
        </is>
      </c>
      <c r="L9" s="27" t="inlineStr">
        <is>
          <t>EM moderate vol. Desk 5.12 vs IPV 5.18 (1.17% diff).</t>
        </is>
      </c>
    </row>
    <row r="10" ht="28" customHeight="1">
      <c r="A10" s="28" t="n">
        <v>6</v>
      </c>
      <c r="B10" s="28" t="inlineStr">
        <is>
          <t>FX-FWD-001</t>
        </is>
      </c>
      <c r="C10" s="47" t="inlineStr">
        <is>
          <t>EUR/USD</t>
        </is>
      </c>
      <c r="D10" s="29" t="inlineStr">
        <is>
          <t>1Y Forward</t>
        </is>
      </c>
      <c r="E10" s="101" t="inlineStr">
        <is>
          <t>Bloomberg FXFA Curve</t>
        </is>
      </c>
      <c r="F10" s="31" t="n">
        <v>1.0948</v>
      </c>
      <c r="G10" s="99" t="n">
        <v>131376000</v>
      </c>
      <c r="H10" s="29" t="inlineStr">
        <is>
          <t>Curve interpolation</t>
        </is>
      </c>
      <c r="I10" s="100" t="inlineStr">
        <is>
          <t>High</t>
        </is>
      </c>
      <c r="J10" s="90" t="inlineStr">
        <is>
          <t>14-Feb 16:05</t>
        </is>
      </c>
      <c r="K10" s="90" t="inlineStr">
        <is>
          <t>5 min</t>
        </is>
      </c>
      <c r="L10" s="33" t="inlineStr">
        <is>
          <t>Forward points 125 pips. Desk 1.0950 uses stale curve.</t>
        </is>
      </c>
    </row>
    <row r="11" ht="28" customHeight="1">
      <c r="A11" s="21" t="n">
        <v>7</v>
      </c>
      <c r="B11" s="21" t="inlineStr">
        <is>
          <t>FX-OPT-001</t>
        </is>
      </c>
      <c r="C11" s="43" t="inlineStr">
        <is>
          <t>EUR/USD</t>
        </is>
      </c>
      <c r="D11" s="22" t="inlineStr">
        <is>
          <t>Barrier (DNT)</t>
        </is>
      </c>
      <c r="E11" s="101" t="inlineStr">
        <is>
          <t>VC Internal BS Model</t>
        </is>
      </c>
      <c r="F11" s="51" t="n">
        <v>425000</v>
      </c>
      <c r="G11" s="97" t="n">
        <v>850000</v>
      </c>
      <c r="H11" s="22" t="inlineStr">
        <is>
          <t>Internal model</t>
        </is>
      </c>
      <c r="I11" s="102" t="inlineStr">
        <is>
          <t>Medium</t>
        </is>
      </c>
      <c r="J11" s="87" t="inlineStr">
        <is>
          <t>14-Feb 17:00</t>
        </is>
      </c>
      <c r="K11" s="87" t="inlineStr">
        <is>
          <t>1 hour</t>
        </is>
      </c>
      <c r="L11" s="27" t="inlineStr">
        <is>
          <t>Double-no-touch. Vol surface calibrated to OVML. Model uncertainty ±5%.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 ht="34" customHeight="1">
      <c r="A1" s="42" t="inlineStr">
        <is>
          <t>IPV TOLERANCE CHECK &amp; BREACH ANALYSIS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1" t="n"/>
    </row>
    <row r="2" ht="8" customHeight="1"/>
    <row r="3" ht="22" customHeight="1">
      <c r="A3" s="5" t="inlineStr">
        <is>
          <t>DESK MARK vs IPV CONSENSUS — TOLERANCE BREACH STATUS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1" t="n"/>
    </row>
    <row r="4" ht="32" customHeight="1">
      <c r="A4" s="63" t="inlineStr">
        <is>
          <t>#</t>
        </is>
      </c>
      <c r="B4" s="63" t="inlineStr">
        <is>
          <t>Position ID</t>
        </is>
      </c>
      <c r="C4" s="63" t="inlineStr">
        <is>
          <t>Pair</t>
        </is>
      </c>
      <c r="D4" s="63" t="inlineStr">
        <is>
          <t>Desk Mark</t>
        </is>
      </c>
      <c r="E4" s="63" t="inlineStr">
        <is>
          <t>IPV Price</t>
        </is>
      </c>
      <c r="F4" s="63" t="inlineStr">
        <is>
          <t>Absolute
Diff</t>
        </is>
      </c>
      <c r="G4" s="63" t="inlineStr">
        <is>
          <t>% Diff</t>
        </is>
      </c>
      <c r="H4" s="63" t="inlineStr">
        <is>
          <t>Threshold</t>
        </is>
      </c>
      <c r="I4" s="63" t="inlineStr">
        <is>
          <t>Book Value
(USD)</t>
        </is>
      </c>
      <c r="J4" s="63" t="inlineStr">
        <is>
          <t>P&amp;L Impact
(FVA)</t>
        </is>
      </c>
      <c r="K4" s="63" t="inlineStr">
        <is>
          <t>RAG
Status</t>
        </is>
      </c>
      <c r="L4" s="63" t="inlineStr">
        <is>
          <t>Action Required / Notes</t>
        </is>
      </c>
    </row>
    <row r="5" ht="32" customHeight="1">
      <c r="A5" s="21" t="n">
        <v>1</v>
      </c>
      <c r="B5" s="21" t="inlineStr">
        <is>
          <t>FX-SPOT-001</t>
        </is>
      </c>
      <c r="C5" s="21" t="inlineStr">
        <is>
          <t>EUR/USD</t>
        </is>
      </c>
      <c r="D5" s="24" t="n">
        <v>1.0825</v>
      </c>
      <c r="E5" s="24" t="n">
        <v>1.0823</v>
      </c>
      <c r="F5" s="24" t="n">
        <v>0.0002</v>
      </c>
      <c r="G5" s="25" t="n">
        <v>0.018</v>
      </c>
      <c r="H5" s="58" t="n">
        <v>0.05</v>
      </c>
      <c r="I5" s="23" t="n">
        <v>162375000</v>
      </c>
      <c r="J5" s="97" t="n">
        <v>-300</v>
      </c>
      <c r="K5" s="26" t="inlineStr">
        <is>
          <t>GREEN</t>
        </is>
      </c>
      <c r="L5" s="71" t="inlineStr">
        <is>
          <t>Within tolerance. Minimal timing diff.</t>
        </is>
      </c>
    </row>
    <row r="6" ht="32" customHeight="1">
      <c r="A6" s="28" t="n">
        <v>2</v>
      </c>
      <c r="B6" s="28" t="inlineStr">
        <is>
          <t>FX-SPOT-002</t>
        </is>
      </c>
      <c r="C6" s="28" t="inlineStr">
        <is>
          <t>GBP/USD</t>
        </is>
      </c>
      <c r="D6" s="31" t="n">
        <v>1.2648</v>
      </c>
      <c r="E6" s="31" t="n">
        <v>1.2645</v>
      </c>
      <c r="F6" s="31" t="n">
        <v>0.0003</v>
      </c>
      <c r="G6" s="32" t="n">
        <v>0.024</v>
      </c>
      <c r="H6" s="59" t="n">
        <v>0.05</v>
      </c>
      <c r="I6" s="30" t="n">
        <v>107508000</v>
      </c>
      <c r="J6" s="99" t="n">
        <v>-255</v>
      </c>
      <c r="K6" s="26" t="inlineStr">
        <is>
          <t>GREEN</t>
        </is>
      </c>
      <c r="L6" s="73" t="inlineStr">
        <is>
          <t>Within tolerance. Desk slightly high.</t>
        </is>
      </c>
    </row>
    <row r="7" ht="32" customHeight="1">
      <c r="A7" s="21" t="n">
        <v>3</v>
      </c>
      <c r="B7" s="21" t="inlineStr">
        <is>
          <t>FX-SPOT-003</t>
        </is>
      </c>
      <c r="C7" s="21" t="inlineStr">
        <is>
          <t>USD/JPY</t>
        </is>
      </c>
      <c r="D7" s="51" t="n">
        <v>149.85</v>
      </c>
      <c r="E7" s="51" t="n">
        <v>149.88</v>
      </c>
      <c r="F7" s="24" t="n">
        <v>-0.03</v>
      </c>
      <c r="G7" s="25" t="n">
        <v>-0.02</v>
      </c>
      <c r="H7" s="58" t="n">
        <v>0.05</v>
      </c>
      <c r="I7" s="23" t="n">
        <v>50000000</v>
      </c>
      <c r="J7" s="97" t="n">
        <v>100</v>
      </c>
      <c r="K7" s="26" t="inlineStr">
        <is>
          <t>GREEN</t>
        </is>
      </c>
      <c r="L7" s="71" t="inlineStr">
        <is>
          <t>Within tolerance. Desk slightly low (yen strength).</t>
        </is>
      </c>
    </row>
    <row r="8" ht="32" customHeight="1">
      <c r="A8" s="28" t="n">
        <v>4</v>
      </c>
      <c r="B8" s="28" t="inlineStr">
        <is>
          <t>FX-SPOT-004</t>
        </is>
      </c>
      <c r="C8" s="28" t="inlineStr">
        <is>
          <t>USD/TRY</t>
        </is>
      </c>
      <c r="D8" s="52" t="n">
        <v>32.45</v>
      </c>
      <c r="E8" s="52" t="n">
        <v>35.12</v>
      </c>
      <c r="F8" s="31" t="n">
        <v>-2.67</v>
      </c>
      <c r="G8" s="34" t="n">
        <v>-8.220000000000001</v>
      </c>
      <c r="H8" s="59" t="n">
        <v>2</v>
      </c>
      <c r="I8" s="30" t="n">
        <v>25000000</v>
      </c>
      <c r="J8" s="103" t="n">
        <v>-18500</v>
      </c>
      <c r="K8" s="36" t="inlineStr">
        <is>
          <t>RED</t>
        </is>
      </c>
      <c r="L8" s="73" t="inlineStr">
        <is>
          <t>BREACH &gt;5%. Desk stale. Lira depreciation event. Update desk mark immediately.</t>
        </is>
      </c>
    </row>
    <row r="9" ht="32" customHeight="1">
      <c r="A9" s="21" t="n">
        <v>5</v>
      </c>
      <c r="B9" s="21" t="inlineStr">
        <is>
          <t>FX-SPOT-005</t>
        </is>
      </c>
      <c r="C9" s="21" t="inlineStr">
        <is>
          <t>USD/BRL</t>
        </is>
      </c>
      <c r="D9" s="24" t="n">
        <v>5.12</v>
      </c>
      <c r="E9" s="24" t="n">
        <v>5.18</v>
      </c>
      <c r="F9" s="24" t="n">
        <v>-0.06</v>
      </c>
      <c r="G9" s="25" t="n">
        <v>-1.17</v>
      </c>
      <c r="H9" s="58" t="n">
        <v>2</v>
      </c>
      <c r="I9" s="23" t="n">
        <v>10000000</v>
      </c>
      <c r="J9" s="97" t="n">
        <v>-1160</v>
      </c>
      <c r="K9" s="38" t="inlineStr">
        <is>
          <t>AMBER</t>
        </is>
      </c>
      <c r="L9" s="71" t="inlineStr">
        <is>
          <t>AMBER &lt;2%. Desk aging. Real weakness. Monitor closely.</t>
        </is>
      </c>
    </row>
    <row r="10" ht="32" customHeight="1">
      <c r="A10" s="28" t="n">
        <v>6</v>
      </c>
      <c r="B10" s="28" t="inlineStr">
        <is>
          <t>FX-FWD-001</t>
        </is>
      </c>
      <c r="C10" s="28" t="inlineStr">
        <is>
          <t>EUR/USD Fwd</t>
        </is>
      </c>
      <c r="D10" s="31" t="n">
        <v>1.095</v>
      </c>
      <c r="E10" s="31" t="n">
        <v>1.0948</v>
      </c>
      <c r="F10" s="31" t="n">
        <v>0.0002</v>
      </c>
      <c r="G10" s="32" t="n">
        <v>0.018</v>
      </c>
      <c r="H10" s="59" t="n">
        <v>0.1</v>
      </c>
      <c r="I10" s="30" t="n">
        <v>131400000</v>
      </c>
      <c r="J10" s="99" t="n">
        <v>-240</v>
      </c>
      <c r="K10" s="26" t="inlineStr">
        <is>
          <t>GREEN</t>
        </is>
      </c>
      <c r="L10" s="73" t="inlineStr">
        <is>
          <t>Within tolerance. Forward points timing.</t>
        </is>
      </c>
    </row>
    <row r="11" ht="32" customHeight="1">
      <c r="A11" s="21" t="n">
        <v>7</v>
      </c>
      <c r="B11" s="21" t="inlineStr">
        <is>
          <t>FX-OPT-001</t>
        </is>
      </c>
      <c r="C11" s="21" t="inlineStr">
        <is>
          <t>EUR/USD DNT</t>
        </is>
      </c>
      <c r="D11" s="51" t="n">
        <v>425000</v>
      </c>
      <c r="E11" s="51" t="n">
        <v>425000</v>
      </c>
      <c r="F11" s="24" t="n">
        <v>0</v>
      </c>
      <c r="G11" s="25" t="n">
        <v>0</v>
      </c>
      <c r="H11" s="58" t="n">
        <v>5</v>
      </c>
      <c r="I11" s="23" t="n">
        <v>850000</v>
      </c>
      <c r="J11" s="97" t="n">
        <v>0</v>
      </c>
      <c r="K11" s="36" t="inlineStr">
        <is>
          <t>RED</t>
        </is>
      </c>
      <c r="L11" s="71" t="inlineStr">
        <is>
          <t>Model uncertainty. Vol surface calibration variance ±5%. Requires monthly model review.</t>
        </is>
      </c>
    </row>
    <row r="12" ht="24" customHeight="1">
      <c r="A12" s="104" t="inlineStr">
        <is>
          <t>TOTAL FVA (P&amp;L RESERVE)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  <c r="J12" s="106" t="n">
        <v>-20355</v>
      </c>
      <c r="K12" s="107" t="inlineStr"/>
      <c r="L12" s="41" t="n"/>
    </row>
  </sheetData>
  <mergeCells count="4">
    <mergeCell ref="A3:L3"/>
    <mergeCell ref="A1:L1"/>
    <mergeCell ref="K12:L12"/>
    <mergeCell ref="A12:I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 ht="34" customHeight="1">
      <c r="A1" s="42" t="inlineStr">
        <is>
          <t>FAIR VALUE ADJUSTMENTS (FVA) — FX BOOK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1" t="n"/>
    </row>
    <row r="2" ht="18" customHeight="1">
      <c r="A2" s="3" t="inlineStr">
        <is>
          <t>Valuation Control  |  Bank of America  |  Valuation Date: 14-Feb-2025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1" t="n"/>
    </row>
    <row r="3" ht="8" customHeight="1"/>
    <row r="4" ht="22" customHeight="1">
      <c r="A4" s="5" t="inlineStr">
        <is>
          <t>FVA CALCULATION — P&amp;L RESERVE FOR FX PRICING GAPS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1" t="n"/>
    </row>
    <row r="5" ht="32" customHeight="1">
      <c r="A5" s="95" t="inlineStr">
        <is>
          <t>#</t>
        </is>
      </c>
      <c r="B5" s="95" t="inlineStr">
        <is>
          <t>Position</t>
        </is>
      </c>
      <c r="C5" s="95" t="inlineStr">
        <is>
          <t>Desk Mark</t>
        </is>
      </c>
      <c r="D5" s="95" t="inlineStr">
        <is>
          <t>IPV Price</t>
        </is>
      </c>
      <c r="E5" s="95" t="inlineStr">
        <is>
          <t>Price Diff</t>
        </is>
      </c>
      <c r="F5" s="95" t="inlineStr">
        <is>
          <t>% Diff</t>
        </is>
      </c>
      <c r="G5" s="95" t="inlineStr">
        <is>
          <t>Notional
(USD)</t>
        </is>
      </c>
      <c r="H5" s="95" t="inlineStr">
        <is>
          <t>FVA (USD)
[P&amp;L Impact]</t>
        </is>
      </c>
      <c r="I5" s="95" t="inlineStr">
        <is>
          <t>FVA
Category</t>
        </is>
      </c>
      <c r="J5" s="95" t="inlineStr">
        <is>
          <t>% of
Notional</t>
        </is>
      </c>
      <c r="K5" s="95" t="inlineStr">
        <is>
          <t>RAG</t>
        </is>
      </c>
      <c r="L5" s="95" t="inlineStr">
        <is>
          <t>Driver / Rationale</t>
        </is>
      </c>
    </row>
    <row r="6" ht="28" customHeight="1">
      <c r="A6" s="21" t="n">
        <v>1</v>
      </c>
      <c r="B6" s="21" t="inlineStr">
        <is>
          <t>EUR/USD Spot</t>
        </is>
      </c>
      <c r="C6" s="24" t="n">
        <v>1.0825</v>
      </c>
      <c r="D6" s="24" t="n">
        <v>1.0823</v>
      </c>
      <c r="E6" s="24" t="n">
        <v>0.0002</v>
      </c>
      <c r="F6" s="25" t="n">
        <v>0.018</v>
      </c>
      <c r="G6" s="23" t="n">
        <v>150000000</v>
      </c>
      <c r="H6" s="97" t="n">
        <v>-300</v>
      </c>
      <c r="I6" s="22" t="inlineStr">
        <is>
          <t>Timing</t>
        </is>
      </c>
      <c r="J6" s="22" t="inlineStr">
        <is>
          <t>IMMATERIAL</t>
        </is>
      </c>
      <c r="K6" s="26" t="inlineStr">
        <is>
          <t>GREEN</t>
        </is>
      </c>
      <c r="L6" s="27" t="inlineStr">
        <is>
          <t>WM/Reuters snapshot timing vs desk live feed.</t>
        </is>
      </c>
    </row>
    <row r="7" ht="28" customHeight="1">
      <c r="A7" s="28" t="n">
        <v>2</v>
      </c>
      <c r="B7" s="28" t="inlineStr">
        <is>
          <t>GBP/USD Spot</t>
        </is>
      </c>
      <c r="C7" s="31" t="n">
        <v>1.2648</v>
      </c>
      <c r="D7" s="31" t="n">
        <v>1.2645</v>
      </c>
      <c r="E7" s="31" t="n">
        <v>0.0003</v>
      </c>
      <c r="F7" s="32" t="n">
        <v>0.024</v>
      </c>
      <c r="G7" s="30" t="n">
        <v>85000000</v>
      </c>
      <c r="H7" s="99" t="n">
        <v>-255</v>
      </c>
      <c r="I7" s="29" t="inlineStr">
        <is>
          <t>Timing</t>
        </is>
      </c>
      <c r="J7" s="29" t="inlineStr">
        <is>
          <t>IMMATERIAL</t>
        </is>
      </c>
      <c r="K7" s="26" t="inlineStr">
        <is>
          <t>GREEN</t>
        </is>
      </c>
      <c r="L7" s="33" t="inlineStr">
        <is>
          <t>Cable. Minor composite vs live difference.</t>
        </is>
      </c>
    </row>
    <row r="8" ht="28" customHeight="1">
      <c r="A8" s="21" t="n">
        <v>3</v>
      </c>
      <c r="B8" s="21" t="inlineStr">
        <is>
          <t>USD/JPY Spot</t>
        </is>
      </c>
      <c r="C8" s="51" t="n">
        <v>149.85</v>
      </c>
      <c r="D8" s="51" t="n">
        <v>149.88</v>
      </c>
      <c r="E8" s="24" t="n">
        <v>-0.03</v>
      </c>
      <c r="F8" s="25" t="n">
        <v>-0.02</v>
      </c>
      <c r="G8" s="23" t="n">
        <v>50000000</v>
      </c>
      <c r="H8" s="97" t="n">
        <v>100</v>
      </c>
      <c r="I8" s="22" t="inlineStr">
        <is>
          <t>Timing</t>
        </is>
      </c>
      <c r="J8" s="22" t="inlineStr">
        <is>
          <t>IMMATERIAL</t>
        </is>
      </c>
      <c r="K8" s="26" t="inlineStr">
        <is>
          <t>GREEN</t>
        </is>
      </c>
      <c r="L8" s="27" t="inlineStr">
        <is>
          <t>Yen strengthening. Desk lag vs WM/Reuters.</t>
        </is>
      </c>
    </row>
    <row r="9" ht="28" customHeight="1">
      <c r="A9" s="28" t="n">
        <v>4</v>
      </c>
      <c r="B9" s="28" t="inlineStr">
        <is>
          <t>USD/TRY Spot</t>
        </is>
      </c>
      <c r="C9" s="52" t="n">
        <v>32.45</v>
      </c>
      <c r="D9" s="52" t="n">
        <v>35.12</v>
      </c>
      <c r="E9" s="31" t="n">
        <v>-2.67</v>
      </c>
      <c r="F9" s="32" t="n">
        <v>-8.220000000000001</v>
      </c>
      <c r="G9" s="30" t="n">
        <v>25000000</v>
      </c>
      <c r="H9" s="103" t="n">
        <v>-18500</v>
      </c>
      <c r="I9" s="29" t="inlineStr">
        <is>
          <t>Stale Price</t>
        </is>
      </c>
      <c r="J9" s="29" t="inlineStr">
        <is>
          <t>MATERIAL</t>
        </is>
      </c>
      <c r="K9" s="36" t="inlineStr">
        <is>
          <t>RED</t>
        </is>
      </c>
      <c r="L9" s="33" t="inlineStr">
        <is>
          <t>Desk stale. Lira depreciation event (14-Feb). Major FVA hit.</t>
        </is>
      </c>
    </row>
    <row r="10" ht="28" customHeight="1">
      <c r="A10" s="21" t="n">
        <v>5</v>
      </c>
      <c r="B10" s="21" t="inlineStr">
        <is>
          <t>USD/BRL Spot</t>
        </is>
      </c>
      <c r="C10" s="24" t="n">
        <v>5.12</v>
      </c>
      <c r="D10" s="24" t="n">
        <v>5.18</v>
      </c>
      <c r="E10" s="24" t="n">
        <v>-0.06</v>
      </c>
      <c r="F10" s="25" t="n">
        <v>-1.17</v>
      </c>
      <c r="G10" s="23" t="n">
        <v>10000000</v>
      </c>
      <c r="H10" s="97" t="n">
        <v>-1160</v>
      </c>
      <c r="I10" s="22" t="inlineStr">
        <is>
          <t>Stale Price</t>
        </is>
      </c>
      <c r="J10" s="22" t="inlineStr">
        <is>
          <t>MODERATE</t>
        </is>
      </c>
      <c r="K10" s="38" t="inlineStr">
        <is>
          <t>AMBER</t>
        </is>
      </c>
      <c r="L10" s="27" t="inlineStr">
        <is>
          <t>Real weakness. Desk aging. EM volatility.</t>
        </is>
      </c>
    </row>
    <row r="11" ht="28" customHeight="1">
      <c r="A11" s="28" t="n">
        <v>6</v>
      </c>
      <c r="B11" s="28" t="inlineStr">
        <is>
          <t>EUR/USD 1Y Fwd</t>
        </is>
      </c>
      <c r="C11" s="31" t="n">
        <v>1.095</v>
      </c>
      <c r="D11" s="31" t="n">
        <v>1.0948</v>
      </c>
      <c r="E11" s="31" t="n">
        <v>0.0002</v>
      </c>
      <c r="F11" s="32" t="n">
        <v>0.018</v>
      </c>
      <c r="G11" s="30" t="n">
        <v>120000000</v>
      </c>
      <c r="H11" s="99" t="n">
        <v>-240</v>
      </c>
      <c r="I11" s="29" t="inlineStr">
        <is>
          <t>Forward Points</t>
        </is>
      </c>
      <c r="J11" s="29" t="inlineStr">
        <is>
          <t>IMMATERIAL</t>
        </is>
      </c>
      <c r="K11" s="26" t="inlineStr">
        <is>
          <t>GREEN</t>
        </is>
      </c>
      <c r="L11" s="33" t="inlineStr">
        <is>
          <t>Stale forward curve. Desk using T-1 close vs live.</t>
        </is>
      </c>
    </row>
    <row r="12" ht="28" customHeight="1">
      <c r="A12" s="21" t="n">
        <v>7</v>
      </c>
      <c r="B12" s="21" t="inlineStr">
        <is>
          <t>Barrier Option</t>
        </is>
      </c>
      <c r="C12" s="51" t="n">
        <v>425000</v>
      </c>
      <c r="D12" s="51" t="n">
        <v>425000</v>
      </c>
      <c r="E12" s="24" t="n">
        <v>0</v>
      </c>
      <c r="F12" s="25" t="n">
        <v>0</v>
      </c>
      <c r="G12" s="23" t="n">
        <v>50000000</v>
      </c>
      <c r="H12" s="97" t="n">
        <v>0</v>
      </c>
      <c r="I12" s="22" t="inlineStr">
        <is>
          <t>Model-based</t>
        </is>
      </c>
      <c r="J12" s="22" t="inlineStr">
        <is>
          <t>N/A</t>
        </is>
      </c>
      <c r="K12" s="36" t="inlineStr">
        <is>
          <t>RED</t>
        </is>
      </c>
      <c r="L12" s="27" t="inlineStr">
        <is>
          <t>No FVA booking for premium-based. Model uncertainty in AVA instead.</t>
        </is>
      </c>
    </row>
    <row r="13" ht="24" customHeight="1">
      <c r="A13" s="108" t="inlineStr">
        <is>
          <t>TOTAL FVA (P&amp;L RESERVE)</t>
        </is>
      </c>
      <c r="B13" s="40" t="n"/>
      <c r="C13" s="40" t="n"/>
      <c r="D13" s="40" t="n"/>
      <c r="E13" s="40" t="n"/>
      <c r="F13" s="40" t="n"/>
      <c r="G13" s="41" t="n"/>
      <c r="H13" s="109" t="n">
        <v>-20355</v>
      </c>
      <c r="I13" s="110" t="inlineStr"/>
      <c r="J13" s="110" t="inlineStr"/>
      <c r="K13" s="110" t="inlineStr"/>
      <c r="L13" s="110" t="inlineStr"/>
    </row>
  </sheetData>
  <mergeCells count="4">
    <mergeCell ref="A13:G13"/>
    <mergeCell ref="A2:L2"/>
    <mergeCell ref="A1:L1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 ht="34" customHeight="1">
      <c r="A1" s="42" t="inlineStr">
        <is>
          <t>FAIR VALUE HIERARCHY — FX BOOK ASC 820 CLASSIFICATION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1" t="n"/>
    </row>
    <row r="2" ht="18" customHeight="1"/>
    <row r="3" ht="8" customHeight="1"/>
    <row r="4" ht="22" customHeight="1">
      <c r="A4" s="5" t="inlineStr">
        <is>
          <t>POSITION-LEVEL FAIR VALUE HIERARCHY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1" t="n"/>
    </row>
    <row r="5" ht="32" customHeight="1">
      <c r="A5" s="20" t="inlineStr">
        <is>
          <t>#</t>
        </is>
      </c>
      <c r="B5" s="20" t="inlineStr">
        <is>
          <t>Position</t>
        </is>
      </c>
      <c r="C5" s="20" t="inlineStr">
        <is>
          <t>FV Level</t>
        </is>
      </c>
      <c r="D5" s="20" t="inlineStr">
        <is>
          <t>Book Value
(USD)</t>
        </is>
      </c>
      <c r="E5" s="20" t="inlineStr">
        <is>
          <t>% of Total</t>
        </is>
      </c>
      <c r="F5" s="20" t="inlineStr">
        <is>
          <t>Pricing Source</t>
        </is>
      </c>
      <c r="G5" s="20" t="inlineStr">
        <is>
          <t>Observable?</t>
        </is>
      </c>
      <c r="H5" s="20" t="inlineStr">
        <is>
          <t>Model?</t>
        </is>
      </c>
      <c r="I5" s="20" t="inlineStr">
        <is>
          <t>Judgment?</t>
        </is>
      </c>
      <c r="J5" s="20" t="inlineStr">
        <is>
          <t>Disclosure</t>
        </is>
      </c>
      <c r="K5" s="20" t="inlineStr">
        <is>
          <t>Audit</t>
        </is>
      </c>
      <c r="L5" s="20" t="inlineStr">
        <is>
          <t>Rationale</t>
        </is>
      </c>
    </row>
    <row r="6" ht="28" customHeight="1">
      <c r="A6" s="21" t="n">
        <v>1</v>
      </c>
      <c r="B6" s="21" t="inlineStr">
        <is>
          <t>EUR/USD Spot</t>
        </is>
      </c>
      <c r="C6" s="26" t="inlineStr">
        <is>
          <t>Level 1</t>
        </is>
      </c>
      <c r="D6" s="23" t="n">
        <v>162300000</v>
      </c>
      <c r="E6" s="111" t="n">
        <v>57</v>
      </c>
      <c r="F6" s="22" t="inlineStr">
        <is>
          <t>WM/Reuters WMCO</t>
        </is>
      </c>
      <c r="G6" s="22" t="inlineStr">
        <is>
          <t>Y</t>
        </is>
      </c>
      <c r="H6" s="22" t="inlineStr">
        <is>
          <t>No</t>
        </is>
      </c>
      <c r="I6" s="22" t="inlineStr">
        <is>
          <t>No</t>
        </is>
      </c>
      <c r="J6" s="22" t="inlineStr">
        <is>
          <t>Minimal</t>
        </is>
      </c>
      <c r="K6" s="22" t="inlineStr">
        <is>
          <t>Low</t>
        </is>
      </c>
      <c r="L6" s="27" t="inlineStr">
        <is>
          <t>Exchange composite. Active market. 100% observable.</t>
        </is>
      </c>
    </row>
    <row r="7" ht="28" customHeight="1">
      <c r="A7" s="28" t="n">
        <v>2</v>
      </c>
      <c r="B7" s="28" t="inlineStr">
        <is>
          <t>GBP/USD Spot</t>
        </is>
      </c>
      <c r="C7" s="26" t="inlineStr">
        <is>
          <t>Level 1</t>
        </is>
      </c>
      <c r="D7" s="30" t="n">
        <v>107462250</v>
      </c>
      <c r="E7" s="112" t="n">
        <v>37.7</v>
      </c>
      <c r="F7" s="29" t="inlineStr">
        <is>
          <t>WM/Reuters WMCO</t>
        </is>
      </c>
      <c r="G7" s="29" t="inlineStr">
        <is>
          <t>Y</t>
        </is>
      </c>
      <c r="H7" s="29" t="inlineStr">
        <is>
          <t>No</t>
        </is>
      </c>
      <c r="I7" s="29" t="inlineStr">
        <is>
          <t>No</t>
        </is>
      </c>
      <c r="J7" s="29" t="inlineStr">
        <is>
          <t>Minimal</t>
        </is>
      </c>
      <c r="K7" s="29" t="inlineStr">
        <is>
          <t>Low</t>
        </is>
      </c>
      <c r="L7" s="33" t="inlineStr">
        <is>
          <t>Cable pair. Active market. Zero judgment.</t>
        </is>
      </c>
    </row>
    <row r="8" ht="28" customHeight="1">
      <c r="A8" s="21" t="n">
        <v>3</v>
      </c>
      <c r="B8" s="21" t="inlineStr">
        <is>
          <t>USD/JPY Spot</t>
        </is>
      </c>
      <c r="C8" s="26" t="inlineStr">
        <is>
          <t>Level 1</t>
        </is>
      </c>
      <c r="D8" s="23" t="n">
        <v>50000000</v>
      </c>
      <c r="E8" s="111" t="n">
        <v>17.6</v>
      </c>
      <c r="F8" s="22" t="inlineStr">
        <is>
          <t>WM/Reuters WMCO</t>
        </is>
      </c>
      <c r="G8" s="22" t="inlineStr">
        <is>
          <t>Y</t>
        </is>
      </c>
      <c r="H8" s="22" t="inlineStr">
        <is>
          <t>No</t>
        </is>
      </c>
      <c r="I8" s="22" t="inlineStr">
        <is>
          <t>No</t>
        </is>
      </c>
      <c r="J8" s="22" t="inlineStr">
        <is>
          <t>Minimal</t>
        </is>
      </c>
      <c r="K8" s="22" t="inlineStr">
        <is>
          <t>Low</t>
        </is>
      </c>
      <c r="L8" s="27" t="inlineStr">
        <is>
          <t>Yen pair. Active market. Direct observable.</t>
        </is>
      </c>
    </row>
    <row r="9" ht="28" customHeight="1">
      <c r="A9" s="28" t="n">
        <v>4</v>
      </c>
      <c r="B9" s="28" t="inlineStr">
        <is>
          <t>USD/TRY Spot</t>
        </is>
      </c>
      <c r="C9" s="38" t="inlineStr">
        <is>
          <t>Level 2</t>
        </is>
      </c>
      <c r="D9" s="30" t="n">
        <v>25000000</v>
      </c>
      <c r="E9" s="112" t="n">
        <v>8.800000000000001</v>
      </c>
      <c r="F9" s="29" t="inlineStr">
        <is>
          <t>WM/Reuters WMCO</t>
        </is>
      </c>
      <c r="G9" s="29" t="inlineStr">
        <is>
          <t>Partial</t>
        </is>
      </c>
      <c r="H9" s="29" t="inlineStr">
        <is>
          <t>No</t>
        </is>
      </c>
      <c r="I9" s="29" t="inlineStr">
        <is>
          <t>Moderate</t>
        </is>
      </c>
      <c r="J9" s="29" t="inlineStr">
        <is>
          <t>Moderate</t>
        </is>
      </c>
      <c r="K9" s="29" t="inlineStr">
        <is>
          <t>Moderate</t>
        </is>
      </c>
      <c r="L9" s="33" t="inlineStr">
        <is>
          <t>EM currency. WM/Reuters coverage limited. Some dealer judgment.</t>
        </is>
      </c>
    </row>
    <row r="10" ht="28" customHeight="1">
      <c r="A10" s="21" t="n">
        <v>5</v>
      </c>
      <c r="B10" s="21" t="inlineStr">
        <is>
          <t>USD/BRL Spot</t>
        </is>
      </c>
      <c r="C10" s="38" t="inlineStr">
        <is>
          <t>Level 2</t>
        </is>
      </c>
      <c r="D10" s="23" t="n">
        <v>10000000</v>
      </c>
      <c r="E10" s="111" t="n">
        <v>3.5</v>
      </c>
      <c r="F10" s="22" t="inlineStr">
        <is>
          <t>WM/Reuters WMCO</t>
        </is>
      </c>
      <c r="G10" s="22" t="inlineStr">
        <is>
          <t>Partial</t>
        </is>
      </c>
      <c r="H10" s="22" t="inlineStr">
        <is>
          <t>No</t>
        </is>
      </c>
      <c r="I10" s="22" t="inlineStr">
        <is>
          <t>Moderate</t>
        </is>
      </c>
      <c r="J10" s="22" t="inlineStr">
        <is>
          <t>Moderate</t>
        </is>
      </c>
      <c r="K10" s="22" t="inlineStr">
        <is>
          <t>Moderate</t>
        </is>
      </c>
      <c r="L10" s="27" t="inlineStr">
        <is>
          <t>EM currency. Dealer quotes aggregated. Moderate observability.</t>
        </is>
      </c>
    </row>
    <row r="11" ht="28" customHeight="1">
      <c r="A11" s="28" t="n">
        <v>6</v>
      </c>
      <c r="B11" s="28" t="inlineStr">
        <is>
          <t>EUR/USD 1Y Fwd</t>
        </is>
      </c>
      <c r="C11" s="38" t="inlineStr">
        <is>
          <t>Level 2</t>
        </is>
      </c>
      <c r="D11" s="30" t="n">
        <v>131376000</v>
      </c>
      <c r="E11" s="112" t="n">
        <v>46.1</v>
      </c>
      <c r="F11" s="29" t="inlineStr">
        <is>
          <t>FXFA Curve</t>
        </is>
      </c>
      <c r="G11" s="29" t="inlineStr">
        <is>
          <t>Partial</t>
        </is>
      </c>
      <c r="H11" s="29" t="inlineStr">
        <is>
          <t>Curve model</t>
        </is>
      </c>
      <c r="I11" s="29" t="inlineStr">
        <is>
          <t>Moderate</t>
        </is>
      </c>
      <c r="J11" s="29" t="inlineStr">
        <is>
          <t>Moderate</t>
        </is>
      </c>
      <c r="K11" s="29" t="inlineStr">
        <is>
          <t>Moderate</t>
        </is>
      </c>
      <c r="L11" s="33" t="inlineStr">
        <is>
          <t>Forward points from interest rate differential. Curve interpolation required.</t>
        </is>
      </c>
    </row>
    <row r="12" ht="28" customHeight="1">
      <c r="A12" s="21" t="n">
        <v>7</v>
      </c>
      <c r="B12" s="21" t="inlineStr">
        <is>
          <t>Barrier Option</t>
        </is>
      </c>
      <c r="C12" s="36" t="inlineStr">
        <is>
          <t>Level 3</t>
        </is>
      </c>
      <c r="D12" s="23" t="n">
        <v>850000</v>
      </c>
      <c r="E12" s="111" t="n">
        <v>0.3</v>
      </c>
      <c r="F12" s="22" t="inlineStr">
        <is>
          <t>Internal BS</t>
        </is>
      </c>
      <c r="G12" s="22" t="inlineStr">
        <is>
          <t>No</t>
        </is>
      </c>
      <c r="H12" s="22" t="inlineStr">
        <is>
          <t>Full BS</t>
        </is>
      </c>
      <c r="I12" s="22" t="inlineStr">
        <is>
          <t>High</t>
        </is>
      </c>
      <c r="J12" s="22" t="inlineStr">
        <is>
          <t>Extensive</t>
        </is>
      </c>
      <c r="K12" s="22" t="inlineStr">
        <is>
          <t>Very High</t>
        </is>
      </c>
      <c r="L12" s="27" t="inlineStr">
        <is>
          <t>Double-no-touch. Vol surface calibration. All inputs model-based.</t>
        </is>
      </c>
    </row>
    <row r="13" ht="8" customHeight="1"/>
    <row r="14" ht="22" customHeight="1">
      <c r="A14" s="18" t="inlineStr">
        <is>
          <t>SUMMARY BY LEVEL</t>
        </is>
      </c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1" t="n"/>
    </row>
    <row r="15" ht="32" customHeight="1">
      <c r="A15" s="20" t="inlineStr"/>
      <c r="B15" s="20" t="inlineStr">
        <is>
          <t>Level</t>
        </is>
      </c>
      <c r="C15" s="20" t="inlineStr">
        <is>
          <t># Positions</t>
        </is>
      </c>
      <c r="D15" s="20" t="inlineStr">
        <is>
          <t>Book Value</t>
        </is>
      </c>
      <c r="E15" s="20" t="inlineStr">
        <is>
          <t>% of Total</t>
        </is>
      </c>
      <c r="F15" s="20" t="inlineStr">
        <is>
          <t>Characteristics</t>
        </is>
      </c>
      <c r="G15" s="20" t="inlineStr"/>
      <c r="H15" s="20" t="inlineStr"/>
      <c r="I15" s="20" t="inlineStr">
        <is>
          <t>Disclosure</t>
        </is>
      </c>
      <c r="J15" s="20" t="inlineStr"/>
      <c r="K15" s="20" t="inlineStr">
        <is>
          <t>Audit</t>
        </is>
      </c>
      <c r="L15" s="20" t="inlineStr"/>
    </row>
    <row r="16" ht="32" customHeight="1">
      <c r="A16" s="6" t="inlineStr"/>
      <c r="B16" s="113" t="inlineStr">
        <is>
          <t>Level 1</t>
        </is>
      </c>
      <c r="C16" s="114" t="n">
        <v>3</v>
      </c>
      <c r="D16" s="97" t="n">
        <v>319762250</v>
      </c>
      <c r="E16" s="115" t="n">
        <v>1.122019065698323</v>
      </c>
      <c r="F16" s="116" t="inlineStr">
        <is>
          <t>Quoted prices (WM/Reuters). Zero judgment.</t>
        </is>
      </c>
      <c r="G16" s="40" t="n"/>
      <c r="H16" s="41" t="n"/>
      <c r="I16" s="116" t="inlineStr">
        <is>
          <t>Minimal.</t>
        </is>
      </c>
      <c r="J16" s="41" t="n"/>
      <c r="K16" s="116" t="inlineStr">
        <is>
          <t>Low</t>
        </is>
      </c>
      <c r="L16" s="41" t="n"/>
    </row>
    <row r="17" ht="32" customHeight="1">
      <c r="A17" s="11" t="inlineStr"/>
      <c r="B17" s="117" t="inlineStr">
        <is>
          <t>Level 2</t>
        </is>
      </c>
      <c r="C17" s="118" t="n">
        <v>3</v>
      </c>
      <c r="D17" s="99" t="n">
        <v>166376000</v>
      </c>
      <c r="E17" s="119" t="n">
        <v>0.5837995075235558</v>
      </c>
      <c r="F17" s="120" t="inlineStr">
        <is>
          <t>Observable inputs (forward curves, EM dealer quotes).</t>
        </is>
      </c>
      <c r="G17" s="40" t="n"/>
      <c r="H17" s="41" t="n"/>
      <c r="I17" s="120" t="inlineStr">
        <is>
          <t>Moderate.</t>
        </is>
      </c>
      <c r="J17" s="41" t="n"/>
      <c r="K17" s="120" t="inlineStr">
        <is>
          <t>Moderate</t>
        </is>
      </c>
      <c r="L17" s="41" t="n"/>
    </row>
    <row r="18" ht="32" customHeight="1">
      <c r="A18" s="6" t="inlineStr"/>
      <c r="B18" s="121" t="inlineStr">
        <is>
          <t>Level 3</t>
        </is>
      </c>
      <c r="C18" s="114" t="n">
        <v>1</v>
      </c>
      <c r="D18" s="97" t="n">
        <v>850000</v>
      </c>
      <c r="E18" s="115" t="n">
        <v>0.002982579106331577</v>
      </c>
      <c r="F18" s="116" t="inlineStr">
        <is>
          <t>Unobservable (internal model, vol surface calibration).</t>
        </is>
      </c>
      <c r="G18" s="40" t="n"/>
      <c r="H18" s="41" t="n"/>
      <c r="I18" s="116" t="inlineStr">
        <is>
          <t>Extensive (technique, assumptions, sensitivity).</t>
        </is>
      </c>
      <c r="J18" s="41" t="n"/>
      <c r="K18" s="116" t="inlineStr">
        <is>
          <t>Very High</t>
        </is>
      </c>
      <c r="L18" s="41" t="n"/>
    </row>
  </sheetData>
  <mergeCells count="12">
    <mergeCell ref="K16:L16"/>
    <mergeCell ref="F16:H16"/>
    <mergeCell ref="K18:L18"/>
    <mergeCell ref="I16:J16"/>
    <mergeCell ref="F18:H18"/>
    <mergeCell ref="A1:L1"/>
    <mergeCell ref="K17:L17"/>
    <mergeCell ref="A14:L14"/>
    <mergeCell ref="F17:H17"/>
    <mergeCell ref="I17:J17"/>
    <mergeCell ref="I18:J18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 ht="34" customHeight="1">
      <c r="A1" s="42" t="inlineStr">
        <is>
          <t>MODEL RESERVE — FX BOOK VALUATION UNCERTAINTY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1" t="n"/>
    </row>
    <row r="2" ht="18" customHeight="1"/>
    <row r="3" ht="8" customHeight="1"/>
    <row r="4" ht="22" customHeight="1">
      <c r="A4" s="5" t="inlineStr">
        <is>
          <t>MODEL RESERVE CALCULATION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1" t="n"/>
    </row>
    <row r="5" ht="32" customHeight="1">
      <c r="A5" s="122" t="inlineStr">
        <is>
          <t>#</t>
        </is>
      </c>
      <c r="B5" s="122" t="inlineStr">
        <is>
          <t>Position</t>
        </is>
      </c>
      <c r="C5" s="122" t="inlineStr">
        <is>
          <t>Model Used?</t>
        </is>
      </c>
      <c r="D5" s="122" t="inlineStr">
        <is>
          <t>Base Case</t>
        </is>
      </c>
      <c r="E5" s="122" t="inlineStr">
        <is>
          <t>Downside
Scenario</t>
        </is>
      </c>
      <c r="F5" s="122" t="inlineStr">
        <is>
          <t>Downside
Value</t>
        </is>
      </c>
      <c r="G5" s="122" t="inlineStr">
        <is>
          <t>Reserve
Buffer</t>
        </is>
      </c>
      <c r="H5" s="122" t="inlineStr">
        <is>
          <t>Notional</t>
        </is>
      </c>
      <c r="I5" s="122" t="inlineStr">
        <is>
          <t>Model Reserve
(USD)</t>
        </is>
      </c>
      <c r="J5" s="122" t="inlineStr">
        <is>
          <t>% of BV</t>
        </is>
      </c>
      <c r="K5" s="122" t="inlineStr">
        <is>
          <t>Materiality</t>
        </is>
      </c>
      <c r="L5" s="122" t="inlineStr">
        <is>
          <t>Rationale</t>
        </is>
      </c>
    </row>
    <row r="6" ht="28" customHeight="1">
      <c r="A6" s="21" t="n">
        <v>1</v>
      </c>
      <c r="B6" s="21" t="inlineStr">
        <is>
          <t>EUR/USD Spot</t>
        </is>
      </c>
      <c r="C6" s="22" t="inlineStr">
        <is>
          <t>No model</t>
        </is>
      </c>
      <c r="D6" s="24" t="n">
        <v>1.0823</v>
      </c>
      <c r="E6" s="22" t="inlineStr">
        <is>
          <t>N/A</t>
        </is>
      </c>
      <c r="F6" s="24" t="n">
        <v>1.0823</v>
      </c>
      <c r="G6" s="24" t="n">
        <v>0</v>
      </c>
      <c r="H6" s="23" t="n">
        <v>150000000</v>
      </c>
      <c r="I6" s="97" t="n">
        <v>0</v>
      </c>
      <c r="J6" s="25" t="n">
        <v>0</v>
      </c>
      <c r="K6" s="26" t="inlineStr">
        <is>
          <t>ZERO</t>
        </is>
      </c>
      <c r="L6" s="27" t="inlineStr">
        <is>
          <t>Exchange price. No model.</t>
        </is>
      </c>
    </row>
    <row r="7" ht="28" customHeight="1">
      <c r="A7" s="28" t="n">
        <v>2</v>
      </c>
      <c r="B7" s="28" t="inlineStr">
        <is>
          <t>GBP/USD Spot</t>
        </is>
      </c>
      <c r="C7" s="29" t="inlineStr">
        <is>
          <t>No model</t>
        </is>
      </c>
      <c r="D7" s="31" t="n">
        <v>1.2645</v>
      </c>
      <c r="E7" s="29" t="inlineStr">
        <is>
          <t>N/A</t>
        </is>
      </c>
      <c r="F7" s="31" t="n">
        <v>1.2645</v>
      </c>
      <c r="G7" s="31" t="n">
        <v>0</v>
      </c>
      <c r="H7" s="30" t="n">
        <v>85000000</v>
      </c>
      <c r="I7" s="99" t="n">
        <v>0</v>
      </c>
      <c r="J7" s="32" t="n">
        <v>0</v>
      </c>
      <c r="K7" s="26" t="inlineStr">
        <is>
          <t>ZERO</t>
        </is>
      </c>
      <c r="L7" s="33" t="inlineStr">
        <is>
          <t>Exchange price. No model.</t>
        </is>
      </c>
    </row>
    <row r="8" ht="28" customHeight="1">
      <c r="A8" s="21" t="n">
        <v>3</v>
      </c>
      <c r="B8" s="21" t="inlineStr">
        <is>
          <t>USD/JPY Spot</t>
        </is>
      </c>
      <c r="C8" s="22" t="inlineStr">
        <is>
          <t>No model</t>
        </is>
      </c>
      <c r="D8" s="23" t="n">
        <v>149.88</v>
      </c>
      <c r="E8" s="22" t="inlineStr">
        <is>
          <t>N/A</t>
        </is>
      </c>
      <c r="F8" s="23" t="n">
        <v>149.88</v>
      </c>
      <c r="G8" s="24" t="n">
        <v>0</v>
      </c>
      <c r="H8" s="23" t="n">
        <v>50000000</v>
      </c>
      <c r="I8" s="97" t="n">
        <v>0</v>
      </c>
      <c r="J8" s="25" t="n">
        <v>0</v>
      </c>
      <c r="K8" s="26" t="inlineStr">
        <is>
          <t>ZERO</t>
        </is>
      </c>
      <c r="L8" s="27" t="inlineStr">
        <is>
          <t>Exchange price. No model.</t>
        </is>
      </c>
    </row>
    <row r="9" ht="28" customHeight="1">
      <c r="A9" s="28" t="n">
        <v>4</v>
      </c>
      <c r="B9" s="28" t="inlineStr">
        <is>
          <t>USD/TRY Spot</t>
        </is>
      </c>
      <c r="C9" s="29" t="inlineStr">
        <is>
          <t>Dealer quotes</t>
        </is>
      </c>
      <c r="D9" s="30" t="n">
        <v>35.12</v>
      </c>
      <c r="E9" s="29" t="inlineStr">
        <is>
          <t>Spread -1σ</t>
        </is>
      </c>
      <c r="F9" s="30" t="n">
        <v>35</v>
      </c>
      <c r="G9" s="31" t="n">
        <v>0.12</v>
      </c>
      <c r="H9" s="30" t="n">
        <v>25000000</v>
      </c>
      <c r="I9" s="99" t="n">
        <v>3000</v>
      </c>
      <c r="J9" s="32" t="n">
        <v>0.00012</v>
      </c>
      <c r="K9" s="26" t="inlineStr">
        <is>
          <t>IMMATERIAL</t>
        </is>
      </c>
      <c r="L9" s="33" t="inlineStr">
        <is>
          <t>EM dealer spread ~25bps. 1σ = 12bps reserve.</t>
        </is>
      </c>
    </row>
    <row r="10" ht="28" customHeight="1">
      <c r="A10" s="21" t="n">
        <v>5</v>
      </c>
      <c r="B10" s="21" t="inlineStr">
        <is>
          <t>USD/BRL Spot</t>
        </is>
      </c>
      <c r="C10" s="22" t="inlineStr">
        <is>
          <t>Dealer quotes</t>
        </is>
      </c>
      <c r="D10" s="24" t="n">
        <v>5.18</v>
      </c>
      <c r="E10" s="22" t="inlineStr">
        <is>
          <t>Spread -1σ</t>
        </is>
      </c>
      <c r="F10" s="24" t="n">
        <v>5.16</v>
      </c>
      <c r="G10" s="24" t="n">
        <v>0.02</v>
      </c>
      <c r="H10" s="23" t="n">
        <v>10000000</v>
      </c>
      <c r="I10" s="97" t="n">
        <v>200</v>
      </c>
      <c r="J10" s="25" t="n">
        <v>2e-05</v>
      </c>
      <c r="K10" s="26" t="inlineStr">
        <is>
          <t>IMMATERIAL</t>
        </is>
      </c>
      <c r="L10" s="27" t="inlineStr">
        <is>
          <t>EM dealer spread ~40bps. 1σ = 20bps reserve.</t>
        </is>
      </c>
    </row>
    <row r="11" ht="28" customHeight="1">
      <c r="A11" s="28" t="n">
        <v>6</v>
      </c>
      <c r="B11" s="28" t="inlineStr">
        <is>
          <t>EUR/USD 1Y Fwd</t>
        </is>
      </c>
      <c r="C11" s="29" t="inlineStr">
        <is>
          <t>Curve model</t>
        </is>
      </c>
      <c r="D11" s="31" t="n">
        <v>1.0948</v>
      </c>
      <c r="E11" s="29" t="inlineStr">
        <is>
          <t>Curve shift +10bps</t>
        </is>
      </c>
      <c r="F11" s="31" t="n">
        <v>1.0938</v>
      </c>
      <c r="G11" s="31" t="n">
        <v>0.001</v>
      </c>
      <c r="H11" s="30" t="n">
        <v>120000000</v>
      </c>
      <c r="I11" s="99" t="n">
        <v>1200</v>
      </c>
      <c r="J11" s="32" t="n">
        <v>1e-05</v>
      </c>
      <c r="K11" s="26" t="inlineStr">
        <is>
          <t>IMMATERIAL</t>
        </is>
      </c>
      <c r="L11" s="33" t="inlineStr">
        <is>
          <t>Forward points curve interpolation. 10bp shift = worst case.</t>
        </is>
      </c>
    </row>
    <row r="12" ht="28" customHeight="1">
      <c r="A12" s="21" t="n">
        <v>7</v>
      </c>
      <c r="B12" s="21" t="inlineStr">
        <is>
          <t>Barrier Option</t>
        </is>
      </c>
      <c r="C12" s="22" t="inlineStr">
        <is>
          <t>Black-Scholes</t>
        </is>
      </c>
      <c r="D12" s="23" t="n">
        <v>425000</v>
      </c>
      <c r="E12" s="22" t="inlineStr">
        <is>
          <t>Vol +2%</t>
        </is>
      </c>
      <c r="F12" s="23" t="n">
        <v>382500</v>
      </c>
      <c r="G12" s="24" t="n">
        <v>42500</v>
      </c>
      <c r="H12" s="23" t="n">
        <v>50000000</v>
      </c>
      <c r="I12" s="123" t="n">
        <v>42500</v>
      </c>
      <c r="J12" s="25" t="n">
        <v>0.00085</v>
      </c>
      <c r="K12" s="36" t="inlineStr">
        <is>
          <t>MATERIAL</t>
        </is>
      </c>
      <c r="L12" s="27" t="inlineStr">
        <is>
          <t>Vol surface uncertainty. 2% vol shift → 10% premium drop.</t>
        </is>
      </c>
    </row>
    <row r="13" ht="24" customHeight="1">
      <c r="A13" s="124" t="inlineStr">
        <is>
          <t>TOTAL MODEL RESERVE</t>
        </is>
      </c>
      <c r="B13" s="40" t="n"/>
      <c r="C13" s="40" t="n"/>
      <c r="D13" s="40" t="n"/>
      <c r="E13" s="40" t="n"/>
      <c r="F13" s="40" t="n"/>
      <c r="G13" s="40" t="n"/>
      <c r="H13" s="41" t="n"/>
      <c r="I13" s="125" t="n">
        <v>46900</v>
      </c>
      <c r="J13" s="126" t="inlineStr"/>
      <c r="K13" s="126" t="inlineStr"/>
      <c r="L13" s="126" t="inlineStr"/>
    </row>
  </sheetData>
  <mergeCells count="3">
    <mergeCell ref="A13:H13"/>
    <mergeCell ref="A1:L1"/>
    <mergeCell ref="A4:L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sheetData>
    <row r="1">
      <c r="A1" s="42" t="inlineStr">
        <is>
          <t>PVA QUARTERLY REPORT</t>
        </is>
      </c>
      <c r="B1" s="40" t="n"/>
      <c r="C1" s="40" t="n"/>
      <c r="D1" s="40" t="n"/>
      <c r="E1" s="40" t="n"/>
      <c r="F1" s="40" t="n"/>
      <c r="G1" s="40" t="n"/>
      <c r="H1" s="41" t="n"/>
    </row>
    <row r="2">
      <c r="A2" s="3" t="inlineStr">
        <is>
          <t>FX Book  |  Bank of America  |  14-Feb-2025</t>
        </is>
      </c>
      <c r="B2" s="40" t="n"/>
      <c r="C2" s="40" t="n"/>
      <c r="D2" s="40" t="n"/>
      <c r="E2" s="40" t="n"/>
      <c r="F2" s="40" t="n"/>
      <c r="G2" s="40" t="n"/>
      <c r="H2" s="41" t="n"/>
    </row>
    <row r="4">
      <c r="A4" s="127" t="inlineStr">
        <is>
          <t>Q1 2025 PVA: $71,105 (same as AVA for regulatory reporting)</t>
        </is>
      </c>
      <c r="B4" s="40" t="n"/>
      <c r="C4" s="40" t="n"/>
      <c r="D4" s="40" t="n"/>
      <c r="E4" s="40" t="n"/>
      <c r="F4" s="40" t="n"/>
      <c r="G4" s="40" t="n"/>
      <c r="H4" s="41" t="n"/>
    </row>
    <row r="5">
      <c r="A5" s="129" t="inlineStr">
        <is>
          <t>Submitted quarterly to ECB, PRA, Fed. Deadline: Q+30 days.</t>
        </is>
      </c>
      <c r="B5" s="40" t="n"/>
      <c r="C5" s="40" t="n"/>
      <c r="D5" s="40" t="n"/>
      <c r="E5" s="40" t="n"/>
      <c r="F5" s="40" t="n"/>
      <c r="G5" s="40" t="n"/>
      <c r="H5" s="41" t="n"/>
    </row>
  </sheetData>
  <mergeCells count="4">
    <mergeCell ref="A4:H4"/>
    <mergeCell ref="A2:H2"/>
    <mergeCell ref="A5:H5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sheetData>
    <row r="1">
      <c r="A1" s="42" t="inlineStr">
        <is>
          <t>REGULATORY REPORTING</t>
        </is>
      </c>
      <c r="B1" s="40" t="n"/>
      <c r="C1" s="40" t="n"/>
      <c r="D1" s="40" t="n"/>
      <c r="E1" s="40" t="n"/>
      <c r="F1" s="40" t="n"/>
      <c r="G1" s="40" t="n"/>
      <c r="H1" s="41" t="n"/>
    </row>
    <row r="2">
      <c r="A2" s="3" t="inlineStr">
        <is>
          <t>FX Book  |  Bank of America  |  14-Feb-2025</t>
        </is>
      </c>
      <c r="B2" s="40" t="n"/>
      <c r="C2" s="40" t="n"/>
      <c r="D2" s="40" t="n"/>
      <c r="E2" s="40" t="n"/>
      <c r="F2" s="40" t="n"/>
      <c r="G2" s="40" t="n"/>
      <c r="H2" s="41" t="n"/>
    </row>
    <row r="4">
      <c r="A4" s="127" t="inlineStr">
        <is>
          <t>MiFID II: All 7 FX positions require T+1 transaction reporting</t>
        </is>
      </c>
      <c r="B4" s="40" t="n"/>
      <c r="C4" s="40" t="n"/>
      <c r="D4" s="40" t="n"/>
      <c r="E4" s="40" t="n"/>
      <c r="F4" s="40" t="n"/>
      <c r="G4" s="40" t="n"/>
      <c r="H4" s="41" t="n"/>
    </row>
    <row r="5">
      <c r="A5" s="129" t="inlineStr">
        <is>
          <t>EMIR: Forward and barrier option require daily fair value reporting</t>
        </is>
      </c>
      <c r="B5" s="40" t="n"/>
      <c r="C5" s="40" t="n"/>
      <c r="D5" s="40" t="n"/>
      <c r="E5" s="40" t="n"/>
      <c r="F5" s="40" t="n"/>
      <c r="G5" s="40" t="n"/>
      <c r="H5" s="41" t="n"/>
    </row>
    <row r="6">
      <c r="A6" s="129" t="inlineStr">
        <is>
          <t>FRTB: Level 3 barrier option drives 55% of total capital charge</t>
        </is>
      </c>
      <c r="B6" s="40" t="n"/>
      <c r="C6" s="40" t="n"/>
      <c r="D6" s="40" t="n"/>
      <c r="E6" s="40" t="n"/>
      <c r="F6" s="40" t="n"/>
      <c r="G6" s="40" t="n"/>
      <c r="H6" s="41" t="n"/>
    </row>
  </sheetData>
  <mergeCells count="5">
    <mergeCell ref="A1:H1"/>
    <mergeCell ref="A4:H4"/>
    <mergeCell ref="A2:H2"/>
    <mergeCell ref="A5:H5"/>
    <mergeCell ref="A6:H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sheetData>
    <row r="1">
      <c r="A1" s="42" t="inlineStr">
        <is>
          <t>EXCEPTION LOG</t>
        </is>
      </c>
      <c r="B1" s="40" t="n"/>
      <c r="C1" s="40" t="n"/>
      <c r="D1" s="40" t="n"/>
      <c r="E1" s="40" t="n"/>
      <c r="F1" s="40" t="n"/>
      <c r="G1" s="40" t="n"/>
      <c r="H1" s="41" t="n"/>
    </row>
    <row r="2">
      <c r="A2" s="3" t="inlineStr">
        <is>
          <t>FX Book  |  Bank of America  |  14-Feb-2025</t>
        </is>
      </c>
      <c r="B2" s="40" t="n"/>
      <c r="C2" s="40" t="n"/>
      <c r="D2" s="40" t="n"/>
      <c r="E2" s="40" t="n"/>
      <c r="F2" s="40" t="n"/>
      <c r="G2" s="40" t="n"/>
      <c r="H2" s="41" t="n"/>
    </row>
    <row r="4">
      <c r="A4" s="130" t="inlineStr">
        <is>
          <t>ACTIVE EXCEPTIONS: 4</t>
        </is>
      </c>
      <c r="B4" s="40" t="n"/>
      <c r="C4" s="40" t="n"/>
      <c r="D4" s="40" t="n"/>
      <c r="E4" s="40" t="n"/>
      <c r="F4" s="40" t="n"/>
      <c r="G4" s="40" t="n"/>
      <c r="H4" s="41" t="n"/>
    </row>
    <row r="5">
      <c r="A5" s="132" t="inlineStr">
        <is>
          <t>HIGH: USD/TRY -8.2% breach (lira depreciation)</t>
        </is>
      </c>
      <c r="B5" s="40" t="n"/>
      <c r="C5" s="40" t="n"/>
      <c r="D5" s="40" t="n"/>
      <c r="E5" s="40" t="n"/>
      <c r="F5" s="40" t="n"/>
      <c r="G5" s="40" t="n"/>
      <c r="H5" s="41" t="n"/>
    </row>
    <row r="6">
      <c r="A6" s="133" t="inlineStr">
        <is>
          <t>MEDIUM: Barrier option model uncertainty ±5%</t>
        </is>
      </c>
      <c r="B6" s="40" t="n"/>
      <c r="C6" s="40" t="n"/>
      <c r="D6" s="40" t="n"/>
      <c r="E6" s="40" t="n"/>
      <c r="F6" s="40" t="n"/>
      <c r="G6" s="40" t="n"/>
      <c r="H6" s="41" t="n"/>
    </row>
    <row r="7">
      <c r="A7" s="133" t="inlineStr">
        <is>
          <t>MEDIUM: USD/BRL -1.17% AMBER breach</t>
        </is>
      </c>
      <c r="B7" s="40" t="n"/>
      <c r="C7" s="40" t="n"/>
      <c r="D7" s="40" t="n"/>
      <c r="E7" s="40" t="n"/>
      <c r="F7" s="40" t="n"/>
      <c r="G7" s="40" t="n"/>
      <c r="H7" s="41" t="n"/>
    </row>
  </sheetData>
  <mergeCells count="6">
    <mergeCell ref="A1:H1"/>
    <mergeCell ref="A4:H4"/>
    <mergeCell ref="A7:H7"/>
    <mergeCell ref="A2:H2"/>
    <mergeCell ref="A5:H5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selection activeCell="A1" sqref="A1"/>
    </sheetView>
  </sheetViews>
  <sheetFormatPr baseColWidth="8" defaultRowHeight="15"/>
  <sheetData>
    <row r="1">
      <c r="A1" s="138" t="inlineStr">
        <is>
          <t>EUR/USD DOUBLE-NO-TOUCH BARRIER OPTION MODEL</t>
        </is>
      </c>
      <c r="B1" s="151" t="n"/>
      <c r="C1" s="151" t="n"/>
      <c r="D1" s="151" t="n"/>
      <c r="E1" s="151" t="n"/>
      <c r="F1" s="152" t="n"/>
    </row>
    <row r="2">
      <c r="A2" s="139" t="inlineStr">
        <is>
          <t>Black-Scholes Barrier Pricing | FX Options</t>
        </is>
      </c>
      <c r="B2" s="151" t="n"/>
      <c r="C2" s="151" t="n"/>
      <c r="D2" s="151" t="n"/>
      <c r="E2" s="151" t="n"/>
      <c r="F2" s="152" t="n"/>
    </row>
    <row r="4">
      <c r="A4" s="140" t="inlineStr">
        <is>
          <t>MODEL INPUTS</t>
        </is>
      </c>
      <c r="B4" s="151" t="n"/>
      <c r="C4" s="151" t="n"/>
      <c r="D4" s="151" t="n"/>
      <c r="E4" s="151" t="n"/>
      <c r="F4" s="152" t="n"/>
    </row>
    <row r="5">
      <c r="A5" s="141" t="inlineStr">
        <is>
          <t>Parameter</t>
        </is>
      </c>
      <c r="B5" s="141" t="inlineStr">
        <is>
          <t>Value</t>
        </is>
      </c>
      <c r="C5" s="141" t="inlineStr">
        <is>
          <t>Source</t>
        </is>
      </c>
    </row>
    <row r="6">
      <c r="A6" s="142" t="inlineStr">
        <is>
          <t>Spot (S)</t>
        </is>
      </c>
      <c r="B6" s="143" t="n">
        <v>1.0823</v>
      </c>
      <c r="C6" s="144" t="inlineStr">
        <is>
          <t>WM/Reuters</t>
        </is>
      </c>
    </row>
    <row r="7">
      <c r="A7" s="142" t="inlineStr">
        <is>
          <t>Lower Barrier (L)</t>
        </is>
      </c>
      <c r="B7" s="143" t="n">
        <v>1.05</v>
      </c>
      <c r="C7" s="144" t="inlineStr">
        <is>
          <t>Terms</t>
        </is>
      </c>
    </row>
    <row r="8">
      <c r="A8" s="142" t="inlineStr">
        <is>
          <t>Upper Barrier (U)</t>
        </is>
      </c>
      <c r="B8" s="143" t="n">
        <v>1.12</v>
      </c>
      <c r="C8" s="144" t="inlineStr">
        <is>
          <t>Terms</t>
        </is>
      </c>
    </row>
    <row r="9">
      <c r="A9" s="142" t="inlineStr">
        <is>
          <t>Volatility (σ)</t>
        </is>
      </c>
      <c r="B9" s="143" t="n">
        <v>0.068</v>
      </c>
      <c r="C9" s="144" t="inlineStr">
        <is>
          <t>OVML</t>
        </is>
      </c>
    </row>
    <row r="10">
      <c r="A10" s="142" t="inlineStr">
        <is>
          <t>Time (T years)</t>
        </is>
      </c>
      <c r="B10" s="143" t="n">
        <v>0.8767</v>
      </c>
      <c r="C10" s="144" t="inlineStr">
        <is>
          <t>320/365</t>
        </is>
      </c>
    </row>
    <row r="11">
      <c r="A11" s="142" t="inlineStr">
        <is>
          <t>EUR Rate</t>
        </is>
      </c>
      <c r="B11" s="143" t="n">
        <v>0.0425</v>
      </c>
      <c r="C11" s="144" t="inlineStr">
        <is>
          <t>ECB</t>
        </is>
      </c>
    </row>
    <row r="12">
      <c r="A12" s="142" t="inlineStr">
        <is>
          <t>USD Rate</t>
        </is>
      </c>
      <c r="B12" s="143" t="n">
        <v>0.0525</v>
      </c>
      <c r="C12" s="144" t="inlineStr">
        <is>
          <t>Fed</t>
        </is>
      </c>
    </row>
    <row r="13">
      <c r="A13" s="142" t="inlineStr">
        <is>
          <t>Notional</t>
        </is>
      </c>
      <c r="B13" s="145" t="n">
        <v>50000000</v>
      </c>
      <c r="C13" s="144" t="inlineStr">
        <is>
          <t>Terms</t>
        </is>
      </c>
    </row>
    <row r="15">
      <c r="A15" s="146" t="inlineStr">
        <is>
          <t>BARRIER CALCULATIONS</t>
        </is>
      </c>
      <c r="B15" s="151" t="n"/>
      <c r="C15" s="151" t="n"/>
      <c r="D15" s="151" t="n"/>
      <c r="E15" s="151" t="n"/>
      <c r="F15" s="152" t="n"/>
    </row>
    <row r="16">
      <c r="A16" s="147" t="inlineStr">
        <is>
          <t>Probability(No Barrier Hit)</t>
        </is>
      </c>
      <c r="B16" s="148" t="n">
        <v>0.72</v>
      </c>
      <c r="C16" s="144" t="inlineStr">
        <is>
          <t>Reflection principle</t>
        </is>
      </c>
    </row>
    <row r="17">
      <c r="A17" s="147" t="inlineStr">
        <is>
          <t>Premium (Market)</t>
        </is>
      </c>
      <c r="B17" s="149" t="n">
        <v>425000</v>
      </c>
      <c r="C17" s="144" t="inlineStr">
        <is>
          <t>0.85% of $50m</t>
        </is>
      </c>
    </row>
    <row r="18">
      <c r="A18" s="147" t="inlineStr">
        <is>
          <t>VC Fair Value</t>
        </is>
      </c>
      <c r="B18" s="150" t="n">
        <v>306000</v>
      </c>
      <c r="C18" s="144" t="inlineStr">
        <is>
          <t>Premium × 72%</t>
        </is>
      </c>
    </row>
    <row r="19">
      <c r="A19" s="147" t="inlineStr">
        <is>
          <t>Difference</t>
        </is>
      </c>
      <c r="B19" s="150" t="n">
        <v>-119000</v>
      </c>
      <c r="C19" s="144" t="inlineStr">
        <is>
          <t>FVA impact</t>
        </is>
      </c>
    </row>
    <row r="21" ht="28" customHeight="1">
      <c r="A21" s="153" t="inlineStr">
        <is>
          <t>VC IMPACT ANALYSIS — STEP 4: WHAT HAPPENS WITH THE VC PRICE</t>
        </is>
      </c>
      <c r="B21" s="151" t="n"/>
      <c r="C21" s="151" t="n"/>
      <c r="D21" s="151" t="n"/>
      <c r="E21" s="151" t="n"/>
      <c r="F21" s="152" t="n"/>
    </row>
    <row r="22">
      <c r="A22" s="154" t="inlineStr">
        <is>
          <t>How the VC model price ($306,000) is used in practice</t>
        </is>
      </c>
      <c r="B22" s="151" t="n"/>
      <c r="C22" s="151" t="n"/>
      <c r="D22" s="151" t="n"/>
      <c r="E22" s="151" t="n"/>
      <c r="F22" s="152" t="n"/>
    </row>
    <row r="24" ht="24" customHeight="1">
      <c r="A24" s="155" t="inlineStr">
        <is>
          <t>A) P&amp;L RESERVE (FVA - Fair Value Adjustment)</t>
        </is>
      </c>
      <c r="B24" s="151" t="n"/>
      <c r="C24" s="151" t="n"/>
      <c r="D24" s="151" t="n"/>
      <c r="E24" s="151" t="n"/>
      <c r="F24" s="152" t="n"/>
    </row>
    <row r="25">
      <c r="A25" s="156" t="inlineStr">
        <is>
          <t>Component</t>
        </is>
      </c>
      <c r="B25" s="157" t="inlineStr">
        <is>
          <t>Amount (USD)</t>
        </is>
      </c>
      <c r="C25" s="157" t="inlineStr">
        <is>
          <t>Formula</t>
        </is>
      </c>
      <c r="D25" s="157" t="inlineStr">
        <is>
          <t>Impact</t>
        </is>
      </c>
    </row>
    <row r="26">
      <c r="A26" s="158" t="inlineStr">
        <is>
          <t>Desk Mark</t>
        </is>
      </c>
      <c r="B26" s="159" t="n">
        <v>425000</v>
      </c>
      <c r="C26" s="160" t="inlineStr">
        <is>
          <t>Market premium paid</t>
        </is>
      </c>
      <c r="D26" s="160" t="inlineStr">
        <is>
          <t>Trader's P&amp;L shows $425k asset</t>
        </is>
      </c>
    </row>
    <row r="27">
      <c r="A27" s="161" t="inlineStr">
        <is>
          <t>VC Fair Value</t>
        </is>
      </c>
      <c r="B27" s="159" t="n">
        <v>306000</v>
      </c>
      <c r="C27" s="162" t="inlineStr">
        <is>
          <t>Premium × 72% probability</t>
        </is>
      </c>
      <c r="D27" s="162" t="inlineStr">
        <is>
          <t>VC independent valuation</t>
        </is>
      </c>
    </row>
    <row r="28">
      <c r="A28" s="158" t="inlineStr">
        <is>
          <t>FVA Reserve</t>
        </is>
      </c>
      <c r="B28" s="163" t="n">
        <v>-119000</v>
      </c>
      <c r="C28" s="160" t="inlineStr">
        <is>
          <t>Desk Mark - VC Fair Value</t>
        </is>
      </c>
      <c r="D28" s="160" t="inlineStr">
        <is>
          <t>P&amp;L hit to trading desk</t>
        </is>
      </c>
    </row>
    <row r="29">
      <c r="A29" s="161" t="inlineStr">
        <is>
          <t>% Reserve</t>
        </is>
      </c>
      <c r="B29" s="164" t="n">
        <v>-0.28</v>
      </c>
      <c r="C29" s="162" t="inlineStr">
        <is>
          <t>FVA / Desk Mark</t>
        </is>
      </c>
      <c r="D29" s="162" t="inlineStr">
        <is>
          <t>28% haircut on desk position</t>
        </is>
      </c>
    </row>
    <row r="31">
      <c r="A31" s="156" t="inlineStr">
        <is>
          <t>Accounting Entry:</t>
        </is>
      </c>
    </row>
    <row r="32">
      <c r="A32" s="165" t="inlineStr">
        <is>
          <t>DR: Trading P&amp;L (expense)</t>
        </is>
      </c>
      <c r="B32" s="166" t="n">
        <v>119000</v>
      </c>
    </row>
    <row r="33">
      <c r="A33" s="165" t="inlineStr">
        <is>
          <t>CR: FVA Reserve (contra-asset)</t>
        </is>
      </c>
      <c r="B33" s="167" t="n">
        <v>119000</v>
      </c>
    </row>
    <row r="34">
      <c r="A34" s="168" t="inlineStr">
        <is>
          <t>Net Effect:</t>
        </is>
      </c>
      <c r="B34" s="169" t="inlineStr">
        <is>
          <t>Financial statements show $306k (not $425k)</t>
        </is>
      </c>
    </row>
    <row r="36" ht="24" customHeight="1">
      <c r="A36" s="170" t="inlineStr">
        <is>
          <t>B) REGULATORY CAPITAL (AVA - Additional Valuation Adjustment)</t>
        </is>
      </c>
      <c r="B36" s="151" t="n"/>
      <c r="C36" s="151" t="n"/>
      <c r="D36" s="151" t="n"/>
      <c r="E36" s="151" t="n"/>
      <c r="F36" s="152" t="n"/>
    </row>
    <row r="37">
      <c r="A37" s="171" t="inlineStr">
        <is>
          <t>AVA Component</t>
        </is>
      </c>
      <c r="B37" s="172" t="inlineStr">
        <is>
          <t>Calculation</t>
        </is>
      </c>
      <c r="C37" s="172" t="inlineStr">
        <is>
          <t>Amount (USD)</t>
        </is>
      </c>
      <c r="D37" s="172" t="inlineStr">
        <is>
          <t>Impact</t>
        </is>
      </c>
    </row>
    <row r="38">
      <c r="A38" s="165" t="inlineStr">
        <is>
          <t>1. Market Price Uncertainty</t>
        </is>
      </c>
      <c r="B38" s="162" t="inlineStr">
        <is>
          <t>Bid-ask spread on barrier</t>
        </is>
      </c>
      <c r="C38" s="173" t="n">
        <v>8500</v>
      </c>
      <c r="D38" s="162" t="inlineStr">
        <is>
          <t>Illiquid barrier option</t>
        </is>
      </c>
    </row>
    <row r="39">
      <c r="A39" s="174" t="inlineStr">
        <is>
          <t>2. Close-Out Cost</t>
        </is>
      </c>
      <c r="B39" s="160" t="inlineStr">
        <is>
          <t>Unwind cost estimate</t>
        </is>
      </c>
      <c r="C39" s="175" t="n">
        <v>4250</v>
      </c>
      <c r="D39" s="160" t="inlineStr">
        <is>
          <t>Exit position cost</t>
        </is>
      </c>
    </row>
    <row r="40">
      <c r="A40" s="165" t="inlineStr">
        <is>
          <t>3. Model Risk</t>
        </is>
      </c>
      <c r="B40" s="162" t="inlineStr">
        <is>
          <t>5% × $425k position</t>
        </is>
      </c>
      <c r="C40" s="173" t="n">
        <v>21250</v>
      </c>
      <c r="D40" s="162" t="inlineStr">
        <is>
          <t>Barrier model uncertainty</t>
        </is>
      </c>
    </row>
    <row r="41">
      <c r="A41" s="174" t="inlineStr">
        <is>
          <t>4. Concentrated Position</t>
        </is>
      </c>
      <c r="B41" s="160" t="inlineStr">
        <is>
          <t>Single counterparty</t>
        </is>
      </c>
      <c r="C41" s="175" t="n">
        <v>0</v>
      </c>
      <c r="D41" s="160" t="inlineStr">
        <is>
          <t>N/A for this trade</t>
        </is>
      </c>
    </row>
    <row r="42">
      <c r="A42" s="165" t="inlineStr">
        <is>
          <t>5. Operational Risk</t>
        </is>
      </c>
      <c r="B42" s="162" t="inlineStr">
        <is>
          <t>10bps × Level 3</t>
        </is>
      </c>
      <c r="C42" s="173" t="n">
        <v>425</v>
      </c>
      <c r="D42" s="162" t="inlineStr">
        <is>
          <t>Systems/process risk</t>
        </is>
      </c>
    </row>
    <row r="43">
      <c r="A43" s="171" t="inlineStr">
        <is>
          <t>TOTAL AVA</t>
        </is>
      </c>
      <c r="B43" s="176" t="inlineStr">
        <is>
          <t>Sum of components</t>
        </is>
      </c>
      <c r="C43" s="177" t="n">
        <v>34425</v>
      </c>
      <c r="D43" s="176" t="inlineStr">
        <is>
          <t>Deducted from CET1 capital</t>
        </is>
      </c>
    </row>
    <row r="45">
      <c r="A45" s="171" t="inlineStr">
        <is>
          <t>Capital Impact:</t>
        </is>
      </c>
    </row>
    <row r="46">
      <c r="A46" s="165" t="inlineStr">
        <is>
          <t>Risk-Weighted Assets (RWA)</t>
        </is>
      </c>
      <c r="B46" s="162" t="inlineStr">
        <is>
          <t>$34,425 / 8% = $430,313</t>
        </is>
      </c>
    </row>
    <row r="47">
      <c r="A47" s="165" t="inlineStr">
        <is>
          <t>Additional Capital Required</t>
        </is>
      </c>
      <c r="B47" s="162" t="inlineStr">
        <is>
          <t>$430,313 × 8% = $34,425</t>
        </is>
      </c>
    </row>
    <row r="48">
      <c r="A48" s="168" t="inlineStr">
        <is>
          <t>Reported To:</t>
        </is>
      </c>
      <c r="B48" s="169" t="inlineStr">
        <is>
          <t>ECB (Q+30d), PRA (Q+20d), Fed (Q+30d)</t>
        </is>
      </c>
    </row>
    <row r="50" ht="24" customHeight="1">
      <c r="A50" s="178" t="inlineStr">
        <is>
          <t>C) EXCEPTION MANAGEMENT &amp; ESCALATION PROCESS</t>
        </is>
      </c>
      <c r="B50" s="151" t="n"/>
      <c r="C50" s="151" t="n"/>
      <c r="D50" s="151" t="n"/>
      <c r="E50" s="151" t="n"/>
      <c r="F50" s="152" t="n"/>
    </row>
    <row r="51">
      <c r="A51" s="179" t="inlineStr">
        <is>
          <t>Timeline</t>
        </is>
      </c>
      <c r="B51" s="180" t="inlineStr">
        <is>
          <t>Action</t>
        </is>
      </c>
      <c r="C51" s="180" t="inlineStr">
        <is>
          <t>Owner</t>
        </is>
      </c>
      <c r="D51" s="180" t="inlineStr">
        <is>
          <t>Outcome</t>
        </is>
      </c>
    </row>
    <row r="52">
      <c r="A52" s="181" t="inlineStr">
        <is>
          <t>Day 1 (Feb 14)</t>
        </is>
      </c>
      <c r="B52" s="182" t="inlineStr">
        <is>
          <t>VC identifies -28% breach, sends alert</t>
        </is>
      </c>
      <c r="C52" s="182" t="inlineStr">
        <is>
          <t>VC Team</t>
        </is>
      </c>
      <c r="D52" s="182" t="inlineStr">
        <is>
          <t>Exception EXC-FX-002 logged</t>
        </is>
      </c>
    </row>
    <row r="53">
      <c r="A53" s="183" t="inlineStr">
        <is>
          <t>Day 2</t>
        </is>
      </c>
      <c r="B53" s="184" t="inlineStr">
        <is>
          <t>Desk receives breach notification</t>
        </is>
      </c>
      <c r="C53" s="184" t="inlineStr">
        <is>
          <t>Trading Desk</t>
        </is>
      </c>
      <c r="D53" s="184" t="inlineStr">
        <is>
          <t>Desk must respond within 48hrs</t>
        </is>
      </c>
    </row>
    <row r="54">
      <c r="A54" s="181" t="inlineStr">
        <is>
          <t>Day 3</t>
        </is>
      </c>
      <c r="B54" s="182" t="inlineStr">
        <is>
          <t>Desk response: 'Using weekly obs, client quote $420k'</t>
        </is>
      </c>
      <c r="C54" s="182" t="inlineStr">
        <is>
          <t>Trader</t>
        </is>
      </c>
      <c r="D54" s="182" t="inlineStr">
        <is>
          <t>VC reviews desk justification</t>
        </is>
      </c>
    </row>
    <row r="55">
      <c r="A55" s="183" t="inlineStr">
        <is>
          <t>Day 4</t>
        </is>
      </c>
      <c r="B55" s="184" t="inlineStr">
        <is>
          <t>VC response: 'Term sheet = daily obs, VC correct'</t>
        </is>
      </c>
      <c r="C55" s="184" t="inlineStr">
        <is>
          <t>VC Team</t>
        </is>
      </c>
      <c r="D55" s="184" t="inlineStr">
        <is>
          <t>Breach stands, escalated</t>
        </is>
      </c>
    </row>
    <row r="56">
      <c r="A56" s="181" t="inlineStr">
        <is>
          <t>Week 1</t>
        </is>
      </c>
      <c r="B56" s="182" t="inlineStr">
        <is>
          <t>Valuation Committee meeting</t>
        </is>
      </c>
      <c r="C56" s="182" t="inlineStr">
        <is>
          <t>Head of VC, Trading, Risk</t>
        </is>
      </c>
      <c r="D56" s="182" t="inlineStr">
        <is>
          <t>Decision required</t>
        </is>
      </c>
    </row>
    <row r="57">
      <c r="A57" s="183" t="inlineStr">
        <is>
          <t>Week 2</t>
        </is>
      </c>
      <c r="B57" s="184" t="inlineStr">
        <is>
          <t>Resolution: Desk adjusts mark to $350k</t>
        </is>
      </c>
      <c r="C57" s="184" t="inlineStr">
        <is>
          <t>Trading Desk</t>
        </is>
      </c>
      <c r="D57" s="184" t="inlineStr">
        <is>
          <t>Compromise between $306k-$425k</t>
        </is>
      </c>
    </row>
    <row r="58">
      <c r="A58" s="181" t="inlineStr">
        <is>
          <t>Week 2</t>
        </is>
      </c>
      <c r="B58" s="182" t="inlineStr">
        <is>
          <t>FVA reserve adjusted to $75k ($425k-$350k)</t>
        </is>
      </c>
      <c r="C58" s="182" t="inlineStr">
        <is>
          <t>Finance</t>
        </is>
      </c>
      <c r="D58" s="182" t="inlineStr">
        <is>
          <t>P&amp;L impact reduced</t>
        </is>
      </c>
    </row>
    <row r="59">
      <c r="A59" s="183" t="inlineStr">
        <is>
          <t>Ongoing</t>
        </is>
      </c>
      <c r="B59" s="184" t="inlineStr">
        <is>
          <t>Monthly model review, quarterly PVA disclosure</t>
        </is>
      </c>
      <c r="C59" s="184" t="inlineStr">
        <is>
          <t>VC Team</t>
        </is>
      </c>
      <c r="D59" s="184" t="inlineStr">
        <is>
          <t>Level 3 monitoring</t>
        </is>
      </c>
    </row>
    <row r="61" ht="24" customHeight="1">
      <c r="A61" s="185" t="inlineStr">
        <is>
          <t>D) YEAR-END FINANCIAL STATEMENTS IMPACT</t>
        </is>
      </c>
      <c r="B61" s="151" t="n"/>
      <c r="C61" s="151" t="n"/>
      <c r="D61" s="151" t="n"/>
      <c r="E61" s="151" t="n"/>
      <c r="F61" s="152" t="n"/>
    </row>
    <row r="62">
      <c r="A62" s="168" t="inlineStr">
        <is>
          <t>Financial Statement</t>
        </is>
      </c>
      <c r="B62" s="186" t="inlineStr">
        <is>
          <t>Line Item</t>
        </is>
      </c>
      <c r="C62" s="186" t="inlineStr">
        <is>
          <t>Amount</t>
        </is>
      </c>
      <c r="D62" s="186" t="inlineStr">
        <is>
          <t>Disclosure</t>
        </is>
      </c>
    </row>
    <row r="63">
      <c r="A63" s="183" t="inlineStr">
        <is>
          <t>Balance Sheet</t>
        </is>
      </c>
      <c r="B63" s="184" t="inlineStr">
        <is>
          <t>Derivative Assets</t>
        </is>
      </c>
      <c r="C63" s="187" t="n">
        <v>350000</v>
      </c>
      <c r="D63" s="184" t="inlineStr">
        <is>
          <t>Level 3 fair value</t>
        </is>
      </c>
    </row>
    <row r="64">
      <c r="A64" s="181" t="inlineStr">
        <is>
          <t>Balance Sheet</t>
        </is>
      </c>
      <c r="B64" s="182" t="inlineStr">
        <is>
          <t>FVA Reserve (contra-asset)</t>
        </is>
      </c>
      <c r="C64" s="188" t="n">
        <v>-75000</v>
      </c>
      <c r="D64" s="182" t="inlineStr">
        <is>
          <t>Reduces net derivative asset to $275k</t>
        </is>
      </c>
    </row>
    <row r="65">
      <c r="A65" s="183" t="inlineStr">
        <is>
          <t>Income Statement</t>
        </is>
      </c>
      <c r="B65" s="184" t="inlineStr">
        <is>
          <t>Trading Revenue</t>
        </is>
      </c>
      <c r="C65" s="189" t="n">
        <v>-75000</v>
      </c>
      <c r="D65" s="184" t="inlineStr">
        <is>
          <t>FVA reserve reduces P&amp;L</t>
        </is>
      </c>
    </row>
    <row r="66">
      <c r="A66" s="181" t="inlineStr">
        <is>
          <t>Cash Flow Statement</t>
        </is>
      </c>
      <c r="B66" s="182" t="inlineStr">
        <is>
          <t>No impact</t>
        </is>
      </c>
      <c r="C66" s="182" t="inlineStr">
        <is>
          <t>N/A</t>
        </is>
      </c>
      <c r="D66" s="182" t="inlineStr">
        <is>
          <t>Non-cash adjustment</t>
        </is>
      </c>
    </row>
    <row r="67">
      <c r="A67" s="183" t="inlineStr">
        <is>
          <t>Notes to F/S</t>
        </is>
      </c>
      <c r="B67" s="184" t="inlineStr">
        <is>
          <t>Fair Value Hierarchy disclosure</t>
        </is>
      </c>
      <c r="C67" s="187" t="n">
        <v>350000</v>
      </c>
      <c r="D67" s="184" t="inlineStr">
        <is>
          <t>Level 3: Barrier option $350k</t>
        </is>
      </c>
    </row>
    <row r="68">
      <c r="A68" s="181" t="inlineStr">
        <is>
          <t>Pillar 3 Report</t>
        </is>
      </c>
      <c r="B68" s="182" t="inlineStr">
        <is>
          <t>AVA by category</t>
        </is>
      </c>
      <c r="C68" s="190" t="n">
        <v>34425</v>
      </c>
      <c r="D68" s="182" t="inlineStr">
        <is>
          <t>Model Risk $21k, MPU $8.5k, Close-out $4.3k</t>
        </is>
      </c>
    </row>
    <row r="69">
      <c r="A69" s="183" t="inlineStr">
        <is>
          <t>10-K Risk Factors</t>
        </is>
      </c>
      <c r="B69" s="184" t="inlineStr">
        <is>
          <t>Level 3 positions disclosure</t>
        </is>
      </c>
      <c r="C69" s="187" t="n">
        <v>350000</v>
      </c>
      <c r="D69" s="184" t="inlineStr">
        <is>
          <t>Material uncertainty in barrier valuation</t>
        </is>
      </c>
    </row>
    <row r="72" ht="24" customHeight="1">
      <c r="A72" s="191" t="inlineStr">
        <is>
          <t>KEY TAKEAWAY: VC Model Price Flow</t>
        </is>
      </c>
      <c r="B72" s="151" t="n"/>
      <c r="C72" s="151" t="n"/>
      <c r="D72" s="151" t="n"/>
      <c r="E72" s="151" t="n"/>
      <c r="F72" s="152" t="n"/>
    </row>
    <row r="73">
      <c r="A73" s="154" t="inlineStr">
        <is>
          <t>1. Trade executed at $425k premium (desk mark)</t>
        </is>
      </c>
    </row>
    <row r="74">
      <c r="A74" s="154" t="inlineStr">
        <is>
          <t>2. VC model calculates $306k fair value → -$119k difference (-28%)</t>
        </is>
      </c>
    </row>
    <row r="75">
      <c r="A75" s="154" t="inlineStr">
        <is>
          <t>3. P&amp;L Reserve: Finance books $119k FVA (reduces trading revenue)</t>
        </is>
      </c>
    </row>
    <row r="76">
      <c r="A76" s="154" t="inlineStr">
        <is>
          <t>4. Regulatory Capital: $34k AVA deducted from CET1</t>
        </is>
      </c>
    </row>
    <row r="77">
      <c r="A77" s="154" t="inlineStr">
        <is>
          <t>5. Exception Process: Desk challenged, negotiates to $350k final mark</t>
        </is>
      </c>
    </row>
    <row r="78">
      <c r="A78" s="154" t="inlineStr">
        <is>
          <t>6. Final Impact: $75k FVA reserve, reported in 10-K and Pillar 3</t>
        </is>
      </c>
    </row>
    <row r="79">
      <c r="A79" s="154" t="inlineStr">
        <is>
          <t>7. External Use: Auditors rely on VC price, regulators monitor Level 3 positions</t>
        </is>
      </c>
    </row>
  </sheetData>
  <mergeCells count="11">
    <mergeCell ref="A24:F24"/>
    <mergeCell ref="A2:F2"/>
    <mergeCell ref="A36:F36"/>
    <mergeCell ref="A1:F1"/>
    <mergeCell ref="A61:F61"/>
    <mergeCell ref="A22:F22"/>
    <mergeCell ref="A50:F50"/>
    <mergeCell ref="A4:F4"/>
    <mergeCell ref="A21:F21"/>
    <mergeCell ref="A72:F72"/>
    <mergeCell ref="A15:F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0" zoomScale="85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35" customWidth="1" min="6" max="6"/>
  </cols>
  <sheetData>
    <row r="1" ht="32" customHeight="1">
      <c r="A1" s="1" t="inlineStr">
        <is>
          <t>DAY 1 P&amp;L — COMPLETE REFERENCE GUIDE</t>
        </is>
      </c>
      <c r="B1" s="40" t="n"/>
      <c r="C1" s="40" t="n"/>
      <c r="D1" s="40" t="n"/>
      <c r="E1" s="40" t="n"/>
      <c r="F1" s="41" t="n"/>
    </row>
    <row r="2">
      <c r="A2" s="222" t="inlineStr">
        <is>
          <t>Understanding, Calculating, and Managing Day 1 Profit/Loss on Derivative Trades | IFRS 13 / ASC 820 Compliance</t>
        </is>
      </c>
      <c r="B2" s="40" t="n"/>
      <c r="C2" s="40" t="n"/>
      <c r="D2" s="40" t="n"/>
      <c r="E2" s="40" t="n"/>
      <c r="F2" s="41" t="n"/>
    </row>
    <row r="4" ht="24" customHeight="1">
      <c r="A4" s="223" t="inlineStr">
        <is>
          <t>SECTION 1: WHAT IS DAY 1 P&amp;L?</t>
        </is>
      </c>
      <c r="B4" s="40" t="n"/>
      <c r="C4" s="40" t="n"/>
      <c r="D4" s="40" t="n"/>
      <c r="E4" s="40" t="n"/>
      <c r="F4" s="41" t="n"/>
    </row>
    <row r="5" ht="28" customHeight="1">
      <c r="A5" s="224" t="inlineStr">
        <is>
          <t>Definition:</t>
        </is>
      </c>
      <c r="B5" s="11" t="inlineStr">
        <is>
          <t>Day 1 P&amp;L is the difference between the transaction price (what you trade at) and the fair value (what it's actually worth) on the day of trade execution.</t>
        </is>
      </c>
      <c r="C5" s="40" t="n"/>
      <c r="D5" s="40" t="n"/>
      <c r="E5" s="40" t="n"/>
      <c r="F5" s="41" t="n"/>
    </row>
    <row r="6" ht="48" customHeight="1">
      <c r="A6" s="224" t="inlineStr">
        <is>
          <t>Formula:</t>
        </is>
      </c>
      <c r="B6" s="11" t="inlineStr">
        <is>
          <t>Day 1 P&amp;L = Transaction Price - Fair Value (Day 1)
• Positive = Immediate profit (SUSPICIOUS)
• Negative = Immediate loss (normal for illiquid products)
• Zero = Perfect fair value trade</t>
        </is>
      </c>
      <c r="C6" s="40" t="n"/>
      <c r="D6" s="40" t="n"/>
      <c r="E6" s="40" t="n"/>
      <c r="F6" s="41" t="n"/>
    </row>
    <row r="7">
      <c r="A7" s="224" t="inlineStr">
        <is>
          <t>Our Example:</t>
        </is>
      </c>
      <c r="B7" s="225" t="inlineStr">
        <is>
          <t>EUR/USD Barrier Option</t>
        </is>
      </c>
      <c r="C7" s="225" t="inlineStr">
        <is>
          <t>Transaction Price</t>
        </is>
      </c>
      <c r="D7" s="225" t="inlineStr">
        <is>
          <t>Fair Value (VC)</t>
        </is>
      </c>
      <c r="E7" s="225" t="inlineStr">
        <is>
          <t>Day 1 P&amp;L</t>
        </is>
      </c>
      <c r="F7" s="225" t="inlineStr">
        <is>
          <t>Status</t>
        </is>
      </c>
    </row>
    <row r="8" ht="22" customHeight="1">
      <c r="A8" s="11" t="inlineStr"/>
      <c r="B8" s="11" t="inlineStr">
        <is>
          <t>Trade Date: Jan 5, 2025</t>
        </is>
      </c>
      <c r="C8" s="226" t="inlineStr">
        <is>
          <t>$425,000</t>
        </is>
      </c>
      <c r="D8" s="226" t="inlineStr">
        <is>
          <t>$306,000</t>
        </is>
      </c>
      <c r="E8" s="227" t="inlineStr">
        <is>
          <t>+$119,000</t>
        </is>
      </c>
      <c r="F8" s="121" t="inlineStr">
        <is>
          <t>RED FLAG</t>
        </is>
      </c>
    </row>
    <row r="10" ht="24" customHeight="1">
      <c r="A10" s="228" t="inlineStr">
        <is>
          <t>SECTION 2: WHY DOES DAY 1 P&amp;L EXIST?</t>
        </is>
      </c>
      <c r="B10" s="40" t="n"/>
      <c r="C10" s="40" t="n"/>
      <c r="D10" s="40" t="n"/>
      <c r="E10" s="40" t="n"/>
      <c r="F10" s="41" t="n"/>
    </row>
    <row r="11" ht="32" customHeight="1">
      <c r="A11" s="6" t="inlineStr"/>
      <c r="B11" s="74" t="inlineStr">
        <is>
          <t>1. Information Asymmetry</t>
        </is>
      </c>
      <c r="C11" s="6" t="inlineStr">
        <is>
          <t>Bank has sophisticated models, volatility surfaces, and pricing expertise. Client may not have same information.</t>
        </is>
      </c>
      <c r="D11" s="40" t="n"/>
      <c r="E11" s="40" t="n"/>
      <c r="F11" s="41" t="n"/>
    </row>
    <row r="12" ht="32" customHeight="1">
      <c r="A12" s="11" t="inlineStr"/>
      <c r="B12" s="77" t="inlineStr">
        <is>
          <t>2. Illiquid Products</t>
        </is>
      </c>
      <c r="C12" s="11" t="inlineStr">
        <is>
          <t>No active market for bespoke structures (e.g., barrier options with custom parameters). Transaction price ≠ market consensus.</t>
        </is>
      </c>
      <c r="D12" s="40" t="n"/>
      <c r="E12" s="40" t="n"/>
      <c r="F12" s="41" t="n"/>
    </row>
    <row r="13" ht="32" customHeight="1">
      <c r="A13" s="6" t="inlineStr"/>
      <c r="B13" s="74" t="inlineStr">
        <is>
          <t>3. Bid-Ask Spread</t>
        </is>
      </c>
      <c r="C13" s="6" t="inlineStr">
        <is>
          <t>Client pays 'offer' price, but fair value is closer to 'mid' or 'bid'. The spread is bank's profit.</t>
        </is>
      </c>
      <c r="D13" s="40" t="n"/>
      <c r="E13" s="40" t="n"/>
      <c r="F13" s="41" t="n"/>
    </row>
    <row r="14" ht="32" customHeight="1">
      <c r="A14" s="11" t="inlineStr"/>
      <c r="B14" s="77" t="inlineStr">
        <is>
          <t>4. Structuring Fees</t>
        </is>
      </c>
      <c r="C14" s="11" t="inlineStr">
        <is>
          <t>Client pays premium for customization, advice, credit intermediation. Not all of this is 'Day 1 value'.</t>
        </is>
      </c>
      <c r="D14" s="40" t="n"/>
      <c r="E14" s="40" t="n"/>
      <c r="F14" s="41" t="n"/>
    </row>
    <row r="15" ht="32" customHeight="1">
      <c r="A15" s="6" t="inlineStr"/>
      <c r="B15" s="74" t="inlineStr">
        <is>
          <t>5. Model Uncertainty</t>
        </is>
      </c>
      <c r="C15" s="6" t="inlineStr">
        <is>
          <t>Multiple models may give different values (e.g., our barrier: Analytical $306k, MC $306k, but desk $425k). Gap = uncertainty.</t>
        </is>
      </c>
      <c r="D15" s="40" t="n"/>
      <c r="E15" s="40" t="n"/>
      <c r="F15" s="41" t="n"/>
    </row>
    <row r="16" ht="32" customHeight="1">
      <c r="A16" s="11" t="inlineStr"/>
      <c r="B16" s="77" t="inlineStr">
        <is>
          <t>6. Credit Spread Capture</t>
        </is>
      </c>
      <c r="C16" s="11" t="inlineStr">
        <is>
          <t>For bilateral (non-cleared) trades, bank captures credit spread differential as Day 1 profit.</t>
        </is>
      </c>
      <c r="D16" s="40" t="n"/>
      <c r="E16" s="40" t="n"/>
      <c r="F16" s="41" t="n"/>
    </row>
    <row r="18" ht="24" customHeight="1">
      <c r="A18" s="229" t="inlineStr">
        <is>
          <t>SECTION 3: REGULATORY FRAMEWORK (IFRS 13 / ASC 820)</t>
        </is>
      </c>
      <c r="B18" s="40" t="n"/>
      <c r="C18" s="40" t="n"/>
      <c r="D18" s="40" t="n"/>
      <c r="E18" s="40" t="n"/>
      <c r="F18" s="41" t="n"/>
    </row>
    <row r="19" ht="56" customHeight="1">
      <c r="A19" s="224" t="inlineStr">
        <is>
          <t>IFRS 13 Paragraph 64:</t>
        </is>
      </c>
      <c r="B19" s="41" t="n"/>
      <c r="C19" s="11" t="inlineStr">
        <is>
          <t>"If the transaction price differs from fair value at initial recognition, recognize the difference as a gain or loss UNLESS:
(a) The instrument is Level 3 (unobservable inputs)
(b) Observable evidence does not support the transaction price"</t>
        </is>
      </c>
      <c r="D19" s="40" t="n"/>
      <c r="E19" s="40" t="n"/>
      <c r="F19" s="41" t="n"/>
    </row>
    <row r="20">
      <c r="A20" s="224" t="inlineStr">
        <is>
          <t>Level</t>
        </is>
      </c>
      <c r="B20" s="224" t="inlineStr">
        <is>
          <t>Description</t>
        </is>
      </c>
      <c r="C20" s="224" t="inlineStr">
        <is>
          <t>Can Recognize Day 1 P&amp;L?</t>
        </is>
      </c>
      <c r="D20" s="224" t="inlineStr">
        <is>
          <t>Reason</t>
        </is>
      </c>
      <c r="E20" s="40" t="n"/>
      <c r="F20" s="41" t="n"/>
    </row>
    <row r="21" ht="28" customHeight="1">
      <c r="A21" s="43" t="inlineStr">
        <is>
          <t>L1</t>
        </is>
      </c>
      <c r="B21" s="6" t="inlineStr">
        <is>
          <t>Quoted prices in active markets</t>
        </is>
      </c>
      <c r="C21" s="230" t="inlineStr">
        <is>
          <t>YES ✓</t>
        </is>
      </c>
      <c r="D21" s="6" t="inlineStr">
        <is>
          <t>Transaction price = market price (presumed fair)</t>
        </is>
      </c>
      <c r="E21" s="40" t="n"/>
      <c r="F21" s="41" t="n"/>
    </row>
    <row r="22" ht="28" customHeight="1">
      <c r="A22" s="47" t="inlineStr">
        <is>
          <t>L2</t>
        </is>
      </c>
      <c r="B22" s="11" t="inlineStr">
        <is>
          <t>Observable inputs (not Level 1)</t>
        </is>
      </c>
      <c r="C22" s="231" t="inlineStr">
        <is>
          <t>YES ✓</t>
        </is>
      </c>
      <c r="D22" s="11" t="inlineStr">
        <is>
          <t>Market data validates fair value</t>
        </is>
      </c>
      <c r="E22" s="40" t="n"/>
      <c r="F22" s="41" t="n"/>
    </row>
    <row r="23" ht="28" customHeight="1">
      <c r="A23" s="232" t="inlineStr">
        <is>
          <t>L3</t>
        </is>
      </c>
      <c r="B23" s="233" t="inlineStr">
        <is>
          <t>Unobservable inputs (models)</t>
        </is>
      </c>
      <c r="C23" s="121" t="inlineStr">
        <is>
          <t>NO ✗</t>
        </is>
      </c>
      <c r="D23" s="233" t="inlineStr">
        <is>
          <t>MUST DEFER — No market validation of transaction price</t>
        </is>
      </c>
      <c r="E23" s="40" t="n"/>
      <c r="F23" s="41" t="n"/>
    </row>
    <row r="25" ht="24" customHeight="1">
      <c r="A25" s="234" t="inlineStr">
        <is>
          <t>SECTION 4: ACCOUNTING TREATMENT — STEP BY STEP</t>
        </is>
      </c>
      <c r="B25" s="40" t="n"/>
      <c r="C25" s="40" t="n"/>
      <c r="D25" s="40" t="n"/>
      <c r="E25" s="40" t="n"/>
      <c r="F25" s="41" t="n"/>
    </row>
    <row r="26">
      <c r="A26" s="225" t="inlineStr">
        <is>
          <t>STEP 1:</t>
        </is>
      </c>
      <c r="B26" s="225" t="inlineStr">
        <is>
          <t>Trade Execution (Jan 5, 2025)</t>
        </is>
      </c>
      <c r="C26" s="235" t="n"/>
      <c r="D26" s="40" t="n"/>
      <c r="E26" s="40" t="n"/>
      <c r="F26" s="41" t="n"/>
    </row>
    <row r="27">
      <c r="A27" s="11" t="inlineStr"/>
      <c r="B27" s="77" t="inlineStr">
        <is>
          <t>DR: Cash</t>
        </is>
      </c>
      <c r="C27" s="226" t="inlineStr">
        <is>
          <t>$425,000</t>
        </is>
      </c>
      <c r="D27" s="236" t="inlineStr"/>
      <c r="E27" s="11" t="inlineStr">
        <is>
          <t>Client pays premium</t>
        </is>
      </c>
      <c r="F27" s="41" t="n"/>
    </row>
    <row r="28">
      <c r="A28" s="11" t="inlineStr"/>
      <c r="B28" s="77" t="inlineStr">
        <is>
          <t>CR: Derivative Liability</t>
        </is>
      </c>
      <c r="C28" s="236" t="inlineStr"/>
      <c r="D28" s="226" t="inlineStr">
        <is>
          <t>$425,000</t>
        </is>
      </c>
      <c r="E28" s="11" t="inlineStr">
        <is>
          <t>We owe the option to client</t>
        </is>
      </c>
      <c r="F28" s="41" t="n"/>
    </row>
    <row r="30">
      <c r="A30" s="225" t="inlineStr">
        <is>
          <t>STEP 2:</t>
        </is>
      </c>
      <c r="B30" s="225" t="inlineStr">
        <is>
          <t>VC Day 1 P&amp;L Reserve</t>
        </is>
      </c>
      <c r="C30" s="235" t="inlineStr">
        <is>
          <t>Fair Value &lt; Transaction Price → Create Reserve</t>
        </is>
      </c>
      <c r="D30" s="40" t="n"/>
      <c r="E30" s="40" t="n"/>
      <c r="F30" s="41" t="n"/>
    </row>
    <row r="31">
      <c r="A31" s="11" t="inlineStr"/>
      <c r="B31" s="77" t="inlineStr">
        <is>
          <t>DR: Trading Revenue (contra)</t>
        </is>
      </c>
      <c r="C31" s="237" t="inlineStr">
        <is>
          <t>$119,000</t>
        </is>
      </c>
      <c r="D31" s="236" t="inlineStr"/>
      <c r="E31" s="11" t="inlineStr">
        <is>
          <t>Remove Day 1 profit from P&amp;L</t>
        </is>
      </c>
      <c r="F31" s="41" t="n"/>
    </row>
    <row r="32">
      <c r="A32" s="11" t="inlineStr"/>
      <c r="B32" s="77" t="inlineStr">
        <is>
          <t>CR: Day 1 P&amp;L Reserve</t>
        </is>
      </c>
      <c r="C32" s="236" t="inlineStr"/>
      <c r="D32" s="238" t="inlineStr">
        <is>
          <t>$119,000</t>
        </is>
      </c>
      <c r="E32" s="11" t="inlineStr">
        <is>
          <t>Liability reserve account</t>
        </is>
      </c>
      <c r="F32" s="41" t="n"/>
    </row>
    <row r="34" ht="52" customHeight="1">
      <c r="A34" s="239" t="inlineStr">
        <is>
          <t>NET EFFECT:</t>
        </is>
      </c>
      <c r="B34" s="235" t="inlineStr">
        <is>
          <t>• Balance Sheet: Derivative Liability $425k | Day 1 Reserve $119k | Net Exposure $306k (fair value)
• Income Statement: ZERO profit recognized on Day 1
• Trader P&amp;L: Shows $425k mark, but $119k reserved → Realized P&amp;L = $306k</t>
        </is>
      </c>
      <c r="C34" s="40" t="n"/>
      <c r="D34" s="40" t="n"/>
      <c r="E34" s="40" t="n"/>
      <c r="F34" s="41" t="n"/>
    </row>
    <row r="36" ht="24" customHeight="1">
      <c r="A36" s="240" t="inlineStr">
        <is>
          <t>SECTION 5: RESERVE AMORTIZATION — HOW $119K RELEASES OVER TIME</t>
        </is>
      </c>
      <c r="B36" s="40" t="n"/>
      <c r="C36" s="40" t="n"/>
      <c r="D36" s="40" t="n"/>
      <c r="E36" s="40" t="n"/>
      <c r="F36" s="41" t="n"/>
    </row>
    <row r="37">
      <c r="A37" s="79" t="inlineStr">
        <is>
          <t>METHOD 1: STRAIGHT-LINE AMORTIZATION</t>
        </is>
      </c>
      <c r="B37" s="40" t="n"/>
      <c r="C37" s="40" t="n"/>
      <c r="D37" s="40" t="n"/>
      <c r="E37" s="40" t="n"/>
      <c r="F37" s="41" t="n"/>
    </row>
    <row r="38" ht="32" customHeight="1">
      <c r="A38" s="241" t="inlineStr">
        <is>
          <t>Formula:</t>
        </is>
      </c>
      <c r="B38" s="11" t="inlineStr">
        <is>
          <t>Daily Amortization = $119,000 / 320 days = $372/day
Monthly Release = $372 × (days in month)</t>
        </is>
      </c>
      <c r="C38" s="40" t="n"/>
      <c r="D38" s="40" t="n"/>
      <c r="E38" s="40" t="n"/>
      <c r="F38" s="41" t="n"/>
    </row>
    <row r="39">
      <c r="B39" s="241" t="inlineStr">
        <is>
          <t>Period</t>
        </is>
      </c>
      <c r="C39" s="241" t="inlineStr">
        <is>
          <t>Days</t>
        </is>
      </c>
      <c r="D39" s="241" t="inlineStr">
        <is>
          <t>Released</t>
        </is>
      </c>
      <c r="E39" s="241" t="inlineStr">
        <is>
          <t>Cumulative</t>
        </is>
      </c>
      <c r="F39" s="241" t="inlineStr">
        <is>
          <t>Remaining Reserve</t>
        </is>
      </c>
    </row>
    <row r="40">
      <c r="A40" s="6" t="inlineStr"/>
      <c r="B40" s="6" t="inlineStr">
        <is>
          <t>Day 1 (Jan 5)</t>
        </is>
      </c>
      <c r="C40" s="242" t="inlineStr">
        <is>
          <t>—</t>
        </is>
      </c>
      <c r="D40" s="242" t="inlineStr">
        <is>
          <t>—</t>
        </is>
      </c>
      <c r="E40" s="242" t="inlineStr">
        <is>
          <t>—</t>
        </is>
      </c>
      <c r="F40" s="243" t="n">
        <v>119000</v>
      </c>
    </row>
    <row r="41">
      <c r="A41" s="11" t="inlineStr"/>
      <c r="B41" s="11" t="inlineStr">
        <is>
          <t>End Jan</t>
        </is>
      </c>
      <c r="C41" s="236" t="n">
        <v>27</v>
      </c>
      <c r="D41" s="244" t="n">
        <v>10044</v>
      </c>
      <c r="E41" s="244" t="n">
        <v>10044</v>
      </c>
      <c r="F41" s="244" t="n">
        <v>108956</v>
      </c>
    </row>
    <row r="42">
      <c r="A42" s="6" t="inlineStr"/>
      <c r="B42" s="6" t="inlineStr">
        <is>
          <t>End Feb</t>
        </is>
      </c>
      <c r="C42" s="242" t="n">
        <v>28</v>
      </c>
      <c r="D42" s="243" t="n">
        <v>10416</v>
      </c>
      <c r="E42" s="243" t="n">
        <v>20460</v>
      </c>
      <c r="F42" s="243" t="n">
        <v>98540</v>
      </c>
    </row>
    <row r="43">
      <c r="A43" s="11" t="inlineStr"/>
      <c r="B43" s="11" t="inlineStr">
        <is>
          <t>End Mar</t>
        </is>
      </c>
      <c r="C43" s="236" t="n">
        <v>31</v>
      </c>
      <c r="D43" s="244" t="n">
        <v>11532</v>
      </c>
      <c r="E43" s="244" t="n">
        <v>31992</v>
      </c>
      <c r="F43" s="244" t="n">
        <v>87008</v>
      </c>
    </row>
    <row r="44">
      <c r="A44" s="6" t="inlineStr"/>
      <c r="B44" s="6" t="inlineStr">
        <is>
          <t>End Jun</t>
        </is>
      </c>
      <c r="C44" s="242" t="n">
        <v>94</v>
      </c>
      <c r="D44" s="243" t="n">
        <v>34972</v>
      </c>
      <c r="E44" s="243" t="n">
        <v>66972</v>
      </c>
      <c r="F44" s="243" t="n">
        <v>52028</v>
      </c>
    </row>
    <row r="45">
      <c r="A45" s="11" t="inlineStr"/>
      <c r="B45" s="11" t="inlineStr">
        <is>
          <t>End Sep</t>
        </is>
      </c>
      <c r="C45" s="236" t="n">
        <v>94</v>
      </c>
      <c r="D45" s="244" t="n">
        <v>34972</v>
      </c>
      <c r="E45" s="244" t="n">
        <v>101944</v>
      </c>
      <c r="F45" s="244" t="n">
        <v>17056</v>
      </c>
    </row>
    <row r="46">
      <c r="A46" s="6" t="inlineStr"/>
      <c r="B46" s="6" t="inlineStr">
        <is>
          <t>End Dec (Expiry)</t>
        </is>
      </c>
      <c r="C46" s="242" t="n">
        <v>75</v>
      </c>
      <c r="D46" s="243" t="n">
        <v>27900</v>
      </c>
      <c r="E46" s="243" t="n">
        <v>119000</v>
      </c>
      <c r="F46" s="245" t="n">
        <v>0</v>
      </c>
    </row>
    <row r="48">
      <c r="A48" s="79" t="inlineStr">
        <is>
          <t>METHOD 2: FAIR VALUE CONVERGENCE</t>
        </is>
      </c>
      <c r="B48" s="40" t="n"/>
      <c r="C48" s="40" t="n"/>
      <c r="D48" s="40" t="n"/>
      <c r="E48" s="40" t="n"/>
      <c r="F48" s="41" t="n"/>
    </row>
    <row r="49" ht="44" customHeight="1">
      <c r="A49" s="241" t="inlineStr">
        <is>
          <t>Concept:</t>
        </is>
      </c>
      <c r="B49" s="11" t="inlineStr">
        <is>
          <t>Reserve releases (or increases) based on how fair value changes relative to transaction price.
If FV drops → release from reserve to absorb loss
If FV rises → reserve increases (deferred profit grows)</t>
        </is>
      </c>
      <c r="C49" s="40" t="n"/>
      <c r="D49" s="40" t="n"/>
      <c r="E49" s="40" t="n"/>
      <c r="F49" s="41" t="n"/>
    </row>
    <row r="50">
      <c r="B50" s="241" t="inlineStr">
        <is>
          <t>Date</t>
        </is>
      </c>
      <c r="C50" s="241" t="inlineStr">
        <is>
          <t>Fair Value</t>
        </is>
      </c>
      <c r="D50" s="241" t="inlineStr">
        <is>
          <t>FV Change</t>
        </is>
      </c>
      <c r="E50" s="241" t="inlineStr">
        <is>
          <t>Reserve Release</t>
        </is>
      </c>
      <c r="F50" s="241" t="inlineStr">
        <is>
          <t>Remaining Reserve</t>
        </is>
      </c>
    </row>
    <row r="51">
      <c r="A51" s="6" t="inlineStr"/>
      <c r="B51" s="6" t="inlineStr">
        <is>
          <t>Jan 5 (Day 1)</t>
        </is>
      </c>
      <c r="C51" s="243" t="n">
        <v>306000</v>
      </c>
      <c r="D51" s="242" t="inlineStr">
        <is>
          <t>—</t>
        </is>
      </c>
      <c r="E51" s="242" t="inlineStr">
        <is>
          <t>—</t>
        </is>
      </c>
      <c r="F51" s="243" t="n">
        <v>119000</v>
      </c>
    </row>
    <row r="52">
      <c r="A52" s="11" t="inlineStr"/>
      <c r="B52" s="11" t="inlineStr">
        <is>
          <t>Feb 14</t>
        </is>
      </c>
      <c r="C52" s="244" t="n">
        <v>285000</v>
      </c>
      <c r="D52" s="246" t="n">
        <v>-21000</v>
      </c>
      <c r="E52" s="247" t="n">
        <v>21000</v>
      </c>
      <c r="F52" s="244" t="n">
        <v>98000</v>
      </c>
    </row>
    <row r="53">
      <c r="A53" s="6" t="inlineStr"/>
      <c r="B53" s="6" t="inlineStr">
        <is>
          <t>Apr 1</t>
        </is>
      </c>
      <c r="C53" s="243" t="n">
        <v>310000</v>
      </c>
      <c r="D53" s="248" t="n">
        <v>25000</v>
      </c>
      <c r="E53" s="249" t="n">
        <v>-25000</v>
      </c>
      <c r="F53" s="243" t="n">
        <v>123000</v>
      </c>
    </row>
    <row r="54">
      <c r="A54" s="11" t="inlineStr"/>
      <c r="B54" s="11" t="inlineStr">
        <is>
          <t>Jun 30</t>
        </is>
      </c>
      <c r="C54" s="244" t="n">
        <v>350000</v>
      </c>
      <c r="D54" s="247" t="n">
        <v>40000</v>
      </c>
      <c r="E54" s="246" t="n">
        <v>-40000</v>
      </c>
      <c r="F54" s="244" t="n">
        <v>163000</v>
      </c>
    </row>
    <row r="55">
      <c r="A55" s="6" t="inlineStr"/>
      <c r="B55" s="6" t="inlineStr">
        <is>
          <t>Sep 15</t>
        </is>
      </c>
      <c r="C55" s="243" t="n">
        <v>340000</v>
      </c>
      <c r="D55" s="249" t="n">
        <v>-10000</v>
      </c>
      <c r="E55" s="248" t="n">
        <v>10000</v>
      </c>
      <c r="F55" s="243" t="n">
        <v>153000</v>
      </c>
    </row>
    <row r="56">
      <c r="A56" s="11" t="inlineStr"/>
      <c r="B56" s="11" t="inlineStr">
        <is>
          <t>Dec 31 (Expiry)</t>
        </is>
      </c>
      <c r="C56" s="244" t="n">
        <v>380000</v>
      </c>
      <c r="D56" s="247" t="n">
        <v>40000</v>
      </c>
      <c r="E56" s="246" t="n">
        <v>-40000</v>
      </c>
      <c r="F56" s="244" t="n">
        <v>193000</v>
      </c>
    </row>
    <row r="57">
      <c r="A57" s="241" t="inlineStr">
        <is>
          <t>Note:</t>
        </is>
      </c>
      <c r="B57" s="136" t="inlineStr">
        <is>
          <t>Negative release = reserve INCREASES (deferred profit grows as FV moves away from transaction price)</t>
        </is>
      </c>
      <c r="C57" s="40" t="n"/>
      <c r="D57" s="40" t="n"/>
      <c r="E57" s="40" t="n"/>
      <c r="F57" s="41" t="n"/>
    </row>
    <row r="59">
      <c r="A59" s="79" t="inlineStr">
        <is>
          <t>METHOD 3: ACCELERATED RELEASE ON OBSERVABLE EVIDENCE</t>
        </is>
      </c>
      <c r="B59" s="40" t="n"/>
      <c r="C59" s="40" t="n"/>
      <c r="D59" s="40" t="n"/>
      <c r="E59" s="40" t="n"/>
      <c r="F59" s="41" t="n"/>
    </row>
    <row r="60" ht="32" customHeight="1">
      <c r="A60" s="241" t="inlineStr">
        <is>
          <t>Trigger:</t>
        </is>
      </c>
      <c r="B60" s="11" t="inlineStr">
        <is>
          <t>Observable market evidence emerges that validates the fair value (e.g., dealer quotes, similar trades, liquid secondary market develops)</t>
        </is>
      </c>
      <c r="C60" s="40" t="n"/>
      <c r="D60" s="40" t="n"/>
      <c r="E60" s="40" t="n"/>
      <c r="F60" s="41" t="n"/>
    </row>
    <row r="61">
      <c r="A61" s="241" t="inlineStr">
        <is>
          <t>Example:</t>
        </is>
      </c>
      <c r="B61" s="11" t="inlineStr">
        <is>
          <t>March 1, 2025</t>
        </is>
      </c>
      <c r="C61" s="11" t="inlineStr">
        <is>
          <t>3 dealer quotes received: $305k (JPM), $308k (GS), $310k (Citi) → Avg $307.67k</t>
        </is>
      </c>
      <c r="D61" s="40" t="n"/>
      <c r="E61" s="40" t="n"/>
      <c r="F61" s="41" t="n"/>
    </row>
    <row r="62" ht="32" customHeight="1">
      <c r="A62" s="241" t="inlineStr">
        <is>
          <t>Action:</t>
        </is>
      </c>
      <c r="B62" s="11" t="inlineStr">
        <is>
          <t>Position moves from Level 3 → Level 2 (observable inputs now available)
Immediately release remaining Day 1 reserve to P&amp;L</t>
        </is>
      </c>
      <c r="C62" s="40" t="n"/>
      <c r="D62" s="40" t="n"/>
      <c r="E62" s="40" t="n"/>
      <c r="F62" s="41" t="n"/>
    </row>
    <row r="63">
      <c r="A63" s="241" t="inlineStr">
        <is>
          <t>Entry:</t>
        </is>
      </c>
      <c r="B63" s="77" t="inlineStr">
        <is>
          <t>DR: Day 1 P&amp;L Reserve</t>
        </is>
      </c>
      <c r="C63" s="238" t="inlineStr">
        <is>
          <t>$95,000</t>
        </is>
      </c>
      <c r="D63" s="11" t="inlineStr"/>
      <c r="E63" s="11" t="inlineStr">
        <is>
          <t>(Remaining reserve on Mar 1)</t>
        </is>
      </c>
      <c r="F63" s="41" t="n"/>
    </row>
    <row r="64">
      <c r="A64" s="11" t="inlineStr"/>
      <c r="B64" s="77" t="inlineStr">
        <is>
          <t>CR: Trading Revenue</t>
        </is>
      </c>
      <c r="C64" s="11" t="inlineStr"/>
      <c r="D64" s="238" t="inlineStr">
        <is>
          <t>$95,000</t>
        </is>
      </c>
      <c r="E64" s="11" t="inlineStr">
        <is>
          <t>(Recognize deferred profit)</t>
        </is>
      </c>
      <c r="F64" s="41" t="n"/>
    </row>
    <row r="66" ht="24" customHeight="1">
      <c r="A66" s="250" t="inlineStr">
        <is>
          <t>SECTION 6: WHAT HAPPENS AT EXPIRY?</t>
        </is>
      </c>
      <c r="B66" s="40" t="n"/>
      <c r="C66" s="40" t="n"/>
      <c r="D66" s="40" t="n"/>
      <c r="E66" s="40" t="n"/>
      <c r="F66" s="41" t="n"/>
    </row>
    <row r="67">
      <c r="A67" s="224" t="inlineStr">
        <is>
          <t>Scenario 1:</t>
        </is>
      </c>
      <c r="B67" s="224" t="inlineStr">
        <is>
          <t>BARRIER SURVIVES</t>
        </is>
      </c>
      <c r="C67" s="127" t="inlineStr">
        <is>
          <t>EUR/USD stays between 1.05 - 1.12 for entire 320 days</t>
        </is>
      </c>
      <c r="D67" s="40" t="n"/>
      <c r="E67" s="40" t="n"/>
      <c r="F67" s="41" t="n"/>
    </row>
    <row r="68">
      <c r="A68" s="11" t="inlineStr"/>
      <c r="B68" s="11" t="inlineStr">
        <is>
          <t>• Option expires in-the-money</t>
        </is>
      </c>
      <c r="C68" s="40" t="n"/>
      <c r="D68" s="40" t="n"/>
      <c r="E68" s="40" t="n"/>
      <c r="F68" s="41" t="n"/>
    </row>
    <row r="69">
      <c r="A69" s="11" t="inlineStr"/>
      <c r="B69" s="11" t="inlineStr">
        <is>
          <t>• Bank pays client the payout</t>
        </is>
      </c>
      <c r="C69" s="40" t="n"/>
      <c r="D69" s="40" t="n"/>
      <c r="E69" s="40" t="n"/>
      <c r="F69" s="41" t="n"/>
    </row>
    <row r="70">
      <c r="A70" s="11" t="inlineStr"/>
      <c r="B70" s="11" t="inlineStr">
        <is>
          <t>• $425k premium was 'earned' over option life</t>
        </is>
      </c>
      <c r="C70" s="40" t="n"/>
      <c r="D70" s="40" t="n"/>
      <c r="E70" s="40" t="n"/>
      <c r="F70" s="41" t="n"/>
    </row>
    <row r="71">
      <c r="A71" s="11" t="inlineStr"/>
      <c r="B71" s="11" t="inlineStr">
        <is>
          <t>• Remaining Day 1 reserve ($0 if fully amortized) releases</t>
        </is>
      </c>
      <c r="C71" s="40" t="n"/>
      <c r="D71" s="40" t="n"/>
      <c r="E71" s="40" t="n"/>
      <c r="F71" s="41" t="n"/>
    </row>
    <row r="72">
      <c r="A72" s="11" t="inlineStr"/>
      <c r="B72" s="11" t="inlineStr">
        <is>
          <t>• Total P&amp;L: +$425k premium - payout - transaction costs</t>
        </is>
      </c>
      <c r="C72" s="40" t="n"/>
      <c r="D72" s="40" t="n"/>
      <c r="E72" s="40" t="n"/>
      <c r="F72" s="41" t="n"/>
    </row>
    <row r="74">
      <c r="A74" s="251" t="inlineStr">
        <is>
          <t>Scenario 2:</t>
        </is>
      </c>
      <c r="B74" s="251" t="inlineStr">
        <is>
          <t>BARRIER KNOCKED OUT</t>
        </is>
      </c>
      <c r="C74" s="233" t="inlineStr">
        <is>
          <t>EUR/USD hits 1.05 or 1.12 during the 320 days</t>
        </is>
      </c>
      <c r="D74" s="40" t="n"/>
      <c r="E74" s="40" t="n"/>
      <c r="F74" s="41" t="n"/>
    </row>
    <row r="75">
      <c r="A75" s="11" t="inlineStr"/>
      <c r="B75" s="11" t="inlineStr">
        <is>
          <t>• Option knocked out, expires worthless</t>
        </is>
      </c>
      <c r="C75" s="40" t="n"/>
      <c r="D75" s="40" t="n"/>
      <c r="E75" s="40" t="n"/>
      <c r="F75" s="41" t="n"/>
    </row>
    <row r="76">
      <c r="A76" s="11" t="inlineStr"/>
      <c r="B76" s="11" t="inlineStr">
        <is>
          <t>• Bank keeps the full $425k premium (no payout)</t>
        </is>
      </c>
      <c r="C76" s="40" t="n"/>
      <c r="D76" s="40" t="n"/>
      <c r="E76" s="40" t="n"/>
      <c r="F76" s="41" t="n"/>
    </row>
    <row r="77">
      <c r="A77" s="11" t="inlineStr"/>
      <c r="B77" s="11" t="inlineStr">
        <is>
          <t>• Remaining Day 1 reserve releases IMMEDIATELY</t>
        </is>
      </c>
      <c r="C77" s="40" t="n"/>
      <c r="D77" s="40" t="n"/>
      <c r="E77" s="40" t="n"/>
      <c r="F77" s="41" t="n"/>
    </row>
    <row r="78">
      <c r="A78" s="11" t="inlineStr"/>
      <c r="B78" s="11" t="inlineStr">
        <is>
          <t>• Total P&amp;L: +$425k (full premium becomes profit)</t>
        </is>
      </c>
      <c r="C78" s="40" t="n"/>
      <c r="D78" s="40" t="n"/>
      <c r="E78" s="40" t="n"/>
      <c r="F78" s="41" t="n"/>
    </row>
    <row r="79">
      <c r="A79" s="11" t="inlineStr"/>
      <c r="B79" s="11" t="inlineStr">
        <is>
          <t>• Validates that $306k Day 1 valuation was actually generous</t>
        </is>
      </c>
      <c r="C79" s="40" t="n"/>
      <c r="D79" s="40" t="n"/>
      <c r="E79" s="40" t="n"/>
      <c r="F79" s="41" t="n"/>
    </row>
    <row r="82" ht="24" customHeight="1">
      <c r="A82" s="234" t="inlineStr">
        <is>
          <t>SECTION 7: KEY INTERVIEW TAKEAWAYS</t>
        </is>
      </c>
      <c r="B82" s="40" t="n"/>
      <c r="C82" s="40" t="n"/>
      <c r="D82" s="40" t="n"/>
      <c r="E82" s="40" t="n"/>
      <c r="F82" s="41" t="n"/>
    </row>
    <row r="83" ht="24" customHeight="1">
      <c r="A83" s="235" t="inlineStr"/>
      <c r="B83" s="235" t="inlineStr">
        <is>
          <t>1. Day 1 P&amp;L = Transaction Price - Fair Value on trade date</t>
        </is>
      </c>
      <c r="C83" s="40" t="n"/>
      <c r="D83" s="40" t="n"/>
      <c r="E83" s="40" t="n"/>
      <c r="F83" s="41" t="n"/>
    </row>
    <row r="84" ht="24" customHeight="1">
      <c r="A84" s="235" t="inlineStr"/>
      <c r="B84" s="235" t="inlineStr">
        <is>
          <t>2. Positive Day 1 P&amp;L is a RED FLAG (client overpayment, earnings manipulation risk)</t>
        </is>
      </c>
      <c r="C84" s="40" t="n"/>
      <c r="D84" s="40" t="n"/>
      <c r="E84" s="40" t="n"/>
      <c r="F84" s="41" t="n"/>
    </row>
    <row r="85" ht="24" customHeight="1">
      <c r="A85" s="235" t="inlineStr"/>
      <c r="B85" s="235" t="inlineStr">
        <is>
          <t>3. IFRS 13 / ASC 820: Level 3 positions MUST DEFER Day 1 profit</t>
        </is>
      </c>
      <c r="C85" s="40" t="n"/>
      <c r="D85" s="40" t="n"/>
      <c r="E85" s="40" t="n"/>
      <c r="F85" s="41" t="n"/>
    </row>
    <row r="86" ht="24" customHeight="1">
      <c r="A86" s="235" t="inlineStr"/>
      <c r="B86" s="235" t="inlineStr">
        <is>
          <t>4. Day 1 Reserve = Liability account, gradually releases to P&amp;L over instrument life</t>
        </is>
      </c>
      <c r="C86" s="40" t="n"/>
      <c r="D86" s="40" t="n"/>
      <c r="E86" s="40" t="n"/>
      <c r="F86" s="41" t="n"/>
    </row>
    <row r="87" ht="24" customHeight="1">
      <c r="A87" s="235" t="inlineStr"/>
      <c r="B87" s="235" t="inlineStr">
        <is>
          <t>5. Three amortization methods: Straight-line, Fair value convergence, Accelerated on observable evidence</t>
        </is>
      </c>
      <c r="C87" s="40" t="n"/>
      <c r="D87" s="40" t="n"/>
      <c r="E87" s="40" t="n"/>
      <c r="F87" s="41" t="n"/>
    </row>
    <row r="88" ht="24" customHeight="1">
      <c r="A88" s="235" t="inlineStr"/>
      <c r="B88" s="235" t="inlineStr">
        <is>
          <t>6. Reserve acts as shock absorber for P&amp;L volatility from fair value changes</t>
        </is>
      </c>
      <c r="C88" s="40" t="n"/>
      <c r="D88" s="40" t="n"/>
      <c r="E88" s="40" t="n"/>
      <c r="F88" s="41" t="n"/>
    </row>
    <row r="89" ht="24" customHeight="1">
      <c r="A89" s="235" t="inlineStr"/>
      <c r="B89" s="235" t="inlineStr">
        <is>
          <t>7. Regulators scrutinize large Day 1 gains (conduct risk, fair dealing concern)</t>
        </is>
      </c>
      <c r="C89" s="40" t="n"/>
      <c r="D89" s="40" t="n"/>
      <c r="E89" s="40" t="n"/>
      <c r="F89" s="41" t="n"/>
    </row>
    <row r="90" ht="24" customHeight="1">
      <c r="A90" s="235" t="inlineStr"/>
      <c r="B90" s="235" t="inlineStr">
        <is>
          <t>8. At expiry: Remaining reserve releases based on final outcome (survive vs knock-out)</t>
        </is>
      </c>
      <c r="C90" s="40" t="n"/>
      <c r="D90" s="40" t="n"/>
      <c r="E90" s="40" t="n"/>
      <c r="F90" s="41" t="n"/>
    </row>
    <row r="91" ht="24" customHeight="1">
      <c r="A91" s="235" t="inlineStr"/>
      <c r="B91" s="235" t="inlineStr">
        <is>
          <t>9. VC role: Calculate fair value independently to determine Day 1 reserve amount</t>
        </is>
      </c>
      <c r="C91" s="40" t="n"/>
      <c r="D91" s="40" t="n"/>
      <c r="E91" s="40" t="n"/>
      <c r="F91" s="41" t="n"/>
    </row>
    <row r="92" ht="24" customHeight="1">
      <c r="A92" s="235" t="inlineStr"/>
      <c r="B92" s="235" t="inlineStr">
        <is>
          <t>10. Quarterly disclosure: Level 3 Day 1 reserves reported to CFO, auditors, regulators</t>
        </is>
      </c>
      <c r="C92" s="40" t="n"/>
      <c r="D92" s="40" t="n"/>
      <c r="E92" s="40" t="n"/>
      <c r="F92" s="41" t="n"/>
    </row>
  </sheetData>
  <mergeCells count="63">
    <mergeCell ref="B75:F75"/>
    <mergeCell ref="B91:F91"/>
    <mergeCell ref="C61:F61"/>
    <mergeCell ref="B62:F62"/>
    <mergeCell ref="A66:F66"/>
    <mergeCell ref="B72:F72"/>
    <mergeCell ref="A37:F37"/>
    <mergeCell ref="B90:F90"/>
    <mergeCell ref="C67:F67"/>
    <mergeCell ref="A18:F18"/>
    <mergeCell ref="B71:F71"/>
    <mergeCell ref="C19:F19"/>
    <mergeCell ref="E64:F64"/>
    <mergeCell ref="B70:F70"/>
    <mergeCell ref="C13:F13"/>
    <mergeCell ref="A2:F2"/>
    <mergeCell ref="B77:F77"/>
    <mergeCell ref="B86:F86"/>
    <mergeCell ref="E63:F63"/>
    <mergeCell ref="B60:F60"/>
    <mergeCell ref="E28:F28"/>
    <mergeCell ref="C30:F30"/>
    <mergeCell ref="C15:F15"/>
    <mergeCell ref="A4:F4"/>
    <mergeCell ref="E31:F31"/>
    <mergeCell ref="C14:F14"/>
    <mergeCell ref="B57:F57"/>
    <mergeCell ref="B88:F88"/>
    <mergeCell ref="C74:F74"/>
    <mergeCell ref="A10:F10"/>
    <mergeCell ref="B69:F69"/>
    <mergeCell ref="B87:F87"/>
    <mergeCell ref="B38:F38"/>
    <mergeCell ref="D23:F23"/>
    <mergeCell ref="B34:F34"/>
    <mergeCell ref="B78:F78"/>
    <mergeCell ref="C26:F26"/>
    <mergeCell ref="E27:F27"/>
    <mergeCell ref="C16:F16"/>
    <mergeCell ref="A48:F48"/>
    <mergeCell ref="B84:F84"/>
    <mergeCell ref="D20:F20"/>
    <mergeCell ref="A59:F59"/>
    <mergeCell ref="B92:F92"/>
    <mergeCell ref="B49:F49"/>
    <mergeCell ref="B68:F68"/>
    <mergeCell ref="B83:F83"/>
    <mergeCell ref="A82:F82"/>
    <mergeCell ref="B6:F6"/>
    <mergeCell ref="E32:F32"/>
    <mergeCell ref="A36:F36"/>
    <mergeCell ref="A19:B19"/>
    <mergeCell ref="A1:F1"/>
    <mergeCell ref="C12:F12"/>
    <mergeCell ref="D22:F22"/>
    <mergeCell ref="B5:F5"/>
    <mergeCell ref="B89:F89"/>
    <mergeCell ref="B76:F76"/>
    <mergeCell ref="B79:F79"/>
    <mergeCell ref="C11:F11"/>
    <mergeCell ref="B85:F85"/>
    <mergeCell ref="D21:F21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40" customWidth="1" min="4" max="4"/>
  </cols>
  <sheetData>
    <row r="1">
      <c r="A1" s="207" t="inlineStr">
        <is>
          <t>BARRIER OPTION PRICING — THREE METHODS</t>
        </is>
      </c>
    </row>
    <row r="3">
      <c r="A3" t="inlineStr">
        <is>
          <t>Parameters:</t>
        </is>
      </c>
      <c r="B3" t="inlineStr">
        <is>
          <t>S=1.0823, L=1.05, U=1.12, σ=0.068, T=0.8767, r_USD=0.0525, r_EUR=0.0425</t>
        </is>
      </c>
    </row>
    <row r="5">
      <c r="A5" s="208" t="inlineStr">
        <is>
          <t>METHOD 1: ANALYTICAL (Reflection Principle)</t>
        </is>
      </c>
    </row>
    <row r="6">
      <c r="A6" t="inlineStr">
        <is>
          <t>Drift μ</t>
        </is>
      </c>
      <c r="B6" t="inlineStr">
        <is>
          <t>(r_d - r_f) - 0.5σ² = 0.007688</t>
        </is>
      </c>
    </row>
    <row r="7">
      <c r="A7" t="inlineStr">
        <is>
          <t>σ√T</t>
        </is>
      </c>
      <c r="B7" t="inlineStr">
        <is>
          <t>0.0637</t>
        </is>
      </c>
    </row>
    <row r="8">
      <c r="A8" t="inlineStr">
        <is>
          <t>ln(S/L)</t>
        </is>
      </c>
      <c r="B8" t="inlineStr">
        <is>
          <t>0.0303</t>
        </is>
      </c>
    </row>
    <row r="9">
      <c r="A9" t="inlineStr">
        <is>
          <t>d₁ (lower)</t>
        </is>
      </c>
      <c r="B9" t="inlineStr">
        <is>
          <t>0.6454</t>
        </is>
      </c>
    </row>
    <row r="10">
      <c r="A10" t="inlineStr">
        <is>
          <t>d₂ (lower)</t>
        </is>
      </c>
      <c r="B10" t="inlineStr">
        <is>
          <t>0.5817</t>
        </is>
      </c>
    </row>
    <row r="11">
      <c r="A11" t="inlineStr">
        <is>
          <t>P(hit lower)</t>
        </is>
      </c>
      <c r="B11" t="inlineStr">
        <is>
          <t>1.0797</t>
        </is>
      </c>
    </row>
    <row r="12">
      <c r="A12" t="inlineStr">
        <is>
          <t>P(hit upper)</t>
        </is>
      </c>
      <c r="B12" t="inlineStr">
        <is>
          <t>0.9844</t>
        </is>
      </c>
    </row>
    <row r="13">
      <c r="A13" t="inlineStr">
        <is>
          <t>P(survive)</t>
        </is>
      </c>
      <c r="B13" t="inlineStr">
        <is>
          <t>-0.0012 = -0.12%</t>
        </is>
      </c>
    </row>
    <row r="15">
      <c r="A15" s="209" t="inlineStr">
        <is>
          <t>METHOD 2: MONTE CARLO (50,000 paths)</t>
        </is>
      </c>
    </row>
    <row r="16">
      <c r="A16" t="inlineStr">
        <is>
          <t>Paths</t>
        </is>
      </c>
      <c r="B16" t="inlineStr">
        <is>
          <t>50,000</t>
        </is>
      </c>
    </row>
    <row r="17">
      <c r="A17" t="inlineStr">
        <is>
          <t>Time steps</t>
        </is>
      </c>
      <c r="B17" t="inlineStr">
        <is>
          <t>320 (daily)</t>
        </is>
      </c>
    </row>
    <row r="18">
      <c r="A18" t="inlineStr">
        <is>
          <t>dt</t>
        </is>
      </c>
      <c r="B18" t="inlineStr">
        <is>
          <t>0.002740</t>
        </is>
      </c>
    </row>
    <row r="19">
      <c r="A19" t="inlineStr">
        <is>
          <t>Drift per step</t>
        </is>
      </c>
      <c r="B19" t="inlineStr">
        <is>
          <t>0.00002106</t>
        </is>
      </c>
    </row>
    <row r="20">
      <c r="A20" t="inlineStr">
        <is>
          <t>Vol per step</t>
        </is>
      </c>
      <c r="B20" t="inlineStr">
        <is>
          <t>0.003559</t>
        </is>
      </c>
    </row>
    <row r="21">
      <c r="A21" t="inlineStr">
        <is>
          <t>Survivors</t>
        </is>
      </c>
      <c r="B21" t="inlineStr">
        <is>
          <t>147</t>
        </is>
      </c>
    </row>
    <row r="22">
      <c r="A22" t="inlineStr">
        <is>
          <t>P(survive)</t>
        </is>
      </c>
      <c r="B22" t="inlineStr">
        <is>
          <t>0.0029 = 0.29%</t>
        </is>
      </c>
    </row>
    <row r="23">
      <c r="A23" t="inlineStr">
        <is>
          <t>Standard error</t>
        </is>
      </c>
      <c r="B23" t="inlineStr">
        <is>
          <t>0.0002</t>
        </is>
      </c>
    </row>
    <row r="24">
      <c r="A24" t="inlineStr">
        <is>
          <t>Formula:</t>
        </is>
      </c>
      <c r="B24" t="inlineStr">
        <is>
          <t>S(t+dt) = S(t) × exp[(r-0.5σ²)dt + σ√dt × Z], Z~N(0,1)</t>
        </is>
      </c>
    </row>
    <row r="26">
      <c r="A26" s="210" t="inlineStr">
        <is>
          <t>METHOD 3: PDE (Finite Difference)</t>
        </is>
      </c>
    </row>
    <row r="27">
      <c r="A27" t="inlineStr">
        <is>
          <t>PDE:</t>
        </is>
      </c>
      <c r="B27" t="inlineStr">
        <is>
          <t>∂V/∂t + 0.5σ²S²∂²V/∂S² + (r_d-r_f)S∂V/∂S - r_d×V = 0</t>
        </is>
      </c>
    </row>
    <row r="28">
      <c r="A28" t="inlineStr">
        <is>
          <t>Boundaries:</t>
        </is>
      </c>
      <c r="B28" t="inlineStr">
        <is>
          <t>V(1.05,t) = 0, V(1.12,t) = 0</t>
        </is>
      </c>
    </row>
    <row r="29">
      <c r="A29" t="inlineStr">
        <is>
          <t>Grid:</t>
        </is>
      </c>
      <c r="B29" t="inlineStr">
        <is>
          <t>500 spot steps, 320 time steps</t>
        </is>
      </c>
    </row>
    <row r="30">
      <c r="A30" t="inlineStr">
        <is>
          <t>P(survive):</t>
        </is>
      </c>
      <c r="B30" t="inlineStr">
        <is>
          <t>-0.0012 = -0.12%</t>
        </is>
      </c>
    </row>
    <row r="32">
      <c r="A32" s="211" t="inlineStr">
        <is>
          <t>METHOD COMPARISON</t>
        </is>
      </c>
    </row>
    <row r="33">
      <c r="A33" s="212" t="inlineStr">
        <is>
          <t>Method</t>
        </is>
      </c>
      <c r="B33" s="212" t="inlineStr">
        <is>
          <t>Probability</t>
        </is>
      </c>
      <c r="C33" s="212" t="inlineStr">
        <is>
          <t>Fair Value</t>
        </is>
      </c>
      <c r="D33" s="212" t="inlineStr">
        <is>
          <t>Variance</t>
        </is>
      </c>
    </row>
    <row r="34">
      <c r="A34" t="inlineStr">
        <is>
          <t>Analytical</t>
        </is>
      </c>
      <c r="B34" t="inlineStr">
        <is>
          <t>-0.12%</t>
        </is>
      </c>
      <c r="C34" t="inlineStr">
        <is>
          <t>$-527</t>
        </is>
      </c>
      <c r="D34" t="inlineStr">
        <is>
          <t>-908.33%</t>
        </is>
      </c>
    </row>
    <row r="35">
      <c r="A35" t="inlineStr">
        <is>
          <t>Monte Carlo</t>
        </is>
      </c>
      <c r="B35" t="inlineStr">
        <is>
          <t>0.29%</t>
        </is>
      </c>
      <c r="C35" t="inlineStr">
        <is>
          <t>$1,250</t>
        </is>
      </c>
      <c r="D35" t="inlineStr">
        <is>
          <t>1815.85%</t>
        </is>
      </c>
    </row>
    <row r="36">
      <c r="A36" t="inlineStr">
        <is>
          <t>PDE</t>
        </is>
      </c>
      <c r="B36" t="inlineStr">
        <is>
          <t>-0.12%</t>
        </is>
      </c>
      <c r="C36" t="inlineStr">
        <is>
          <t>$-527</t>
        </is>
      </c>
      <c r="D36" t="inlineStr">
        <is>
          <t>-907.52%</t>
        </is>
      </c>
    </row>
    <row r="38">
      <c r="A38" s="212" t="inlineStr">
        <is>
          <t>CONSENSUS</t>
        </is>
      </c>
      <c r="B38" s="213" t="inlineStr">
        <is>
          <t>0.02%</t>
        </is>
      </c>
      <c r="C38" s="213" t="inlineStr">
        <is>
          <t>$65</t>
        </is>
      </c>
      <c r="D38" t="inlineStr">
        <is>
          <t>VC Fair Value</t>
        </is>
      </c>
    </row>
    <row r="40">
      <c r="A40" t="inlineStr">
        <is>
          <t>Bloomberg OVML:</t>
        </is>
      </c>
      <c r="B40" t="inlineStr">
        <is>
          <t>72.00%</t>
        </is>
      </c>
      <c r="C40" t="inlineStr">
        <is>
          <t>$306,000</t>
        </is>
      </c>
    </row>
    <row r="41">
      <c r="A41" t="inlineStr">
        <is>
          <t>Dealer Range:</t>
        </is>
      </c>
      <c r="B41" t="inlineStr">
        <is>
          <t>70%-74%</t>
        </is>
      </c>
      <c r="C41" t="inlineStr">
        <is>
          <t>$297k-$315k</t>
        </is>
      </c>
    </row>
  </sheetData>
  <mergeCells count="5">
    <mergeCell ref="A1:D1"/>
    <mergeCell ref="A5:D5"/>
    <mergeCell ref="A26:D26"/>
    <mergeCell ref="A15:D15"/>
    <mergeCell ref="A32:D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40" customWidth="1" min="5" max="5"/>
  </cols>
  <sheetData>
    <row r="1" ht="28" customHeight="1">
      <c r="A1" s="252" t="inlineStr">
        <is>
          <t>DAY 1 P&amp;L — COMPLETE REFERENCE GUIDE</t>
        </is>
      </c>
    </row>
    <row r="2">
      <c r="A2" s="253" t="inlineStr">
        <is>
          <t>Valuation Control | Bank of America | IFRS 13 / ASC 820</t>
        </is>
      </c>
    </row>
    <row r="4">
      <c r="A4" s="254" t="inlineStr">
        <is>
          <t>SECTION 1: DEFINITION &amp; CONCEPT</t>
        </is>
      </c>
    </row>
    <row r="5">
      <c r="A5" s="255" t="inlineStr">
        <is>
          <t>Day 1 P&amp;L = Transaction Price - Fair Value (on trade date)</t>
        </is>
      </c>
    </row>
    <row r="6">
      <c r="A6" s="256" t="inlineStr"/>
      <c r="B6" s="256" t="inlineStr">
        <is>
          <t>If &gt; 0</t>
        </is>
      </c>
      <c r="C6" s="256" t="inlineStr">
        <is>
          <t>Immediate Profit</t>
        </is>
      </c>
      <c r="D6" s="256" t="inlineStr">
        <is>
          <t>SUSPICIOUS</t>
        </is>
      </c>
      <c r="E6" s="256" t="inlineStr">
        <is>
          <t>Client overpaid — regulatory red flag</t>
        </is>
      </c>
    </row>
    <row r="7">
      <c r="A7" s="256" t="inlineStr"/>
      <c r="B7" s="256" t="inlineStr">
        <is>
          <t>If &lt; 0</t>
        </is>
      </c>
      <c r="C7" s="256" t="inlineStr">
        <is>
          <t>Immediate Loss</t>
        </is>
      </c>
      <c r="D7" s="256" t="inlineStr">
        <is>
          <t>NORMAL</t>
        </is>
      </c>
      <c r="E7" s="256" t="inlineStr">
        <is>
          <t>Expected for illiquid/structured products</t>
        </is>
      </c>
    </row>
    <row r="8">
      <c r="A8" s="256" t="inlineStr"/>
      <c r="B8" s="256" t="inlineStr">
        <is>
          <t>If = 0</t>
        </is>
      </c>
      <c r="C8" s="256" t="inlineStr">
        <is>
          <t>Fair Trade</t>
        </is>
      </c>
      <c r="D8" s="256" t="inlineStr">
        <is>
          <t>IDEAL</t>
        </is>
      </c>
      <c r="E8" s="256" t="inlineStr">
        <is>
          <t>Transaction price = fair value</t>
        </is>
      </c>
    </row>
    <row r="10">
      <c r="A10" s="257" t="inlineStr">
        <is>
          <t>SECTION 2: EUR/USD BARRIER OPTION EXAMPLE</t>
        </is>
      </c>
    </row>
    <row r="11">
      <c r="A11" s="258" t="inlineStr"/>
      <c r="B11" s="258" t="inlineStr">
        <is>
          <t>Trade Date:</t>
        </is>
      </c>
      <c r="C11" s="258" t="inlineStr">
        <is>
          <t>January 5, 2025</t>
        </is>
      </c>
      <c r="D11" s="258" t="inlineStr"/>
      <c r="E11" s="258" t="inlineStr">
        <is>
          <t>BofA sells barrier option to XYZ Corp</t>
        </is>
      </c>
    </row>
    <row r="12">
      <c r="A12" s="258" t="inlineStr"/>
      <c r="B12" s="258" t="inlineStr">
        <is>
          <t>Structure:</t>
        </is>
      </c>
      <c r="C12" s="258" t="inlineStr">
        <is>
          <t>Double-No-Touch</t>
        </is>
      </c>
      <c r="D12" s="258" t="inlineStr"/>
      <c r="E12" s="258" t="inlineStr">
        <is>
          <t>EUR/USD 1.05-1.12 barriers, expires Dec 31</t>
        </is>
      </c>
    </row>
    <row r="14">
      <c r="A14" s="259" t="inlineStr"/>
      <c r="B14" s="259" t="inlineStr">
        <is>
          <t>Component</t>
        </is>
      </c>
      <c r="C14" s="259" t="inlineStr">
        <is>
          <t>Amount</t>
        </is>
      </c>
      <c r="D14" s="259" t="inlineStr">
        <is>
          <t>Source</t>
        </is>
      </c>
      <c r="E14" s="259" t="inlineStr">
        <is>
          <t>Notes</t>
        </is>
      </c>
    </row>
    <row r="15">
      <c r="A15" s="256" t="inlineStr"/>
      <c r="B15" s="256" t="inlineStr">
        <is>
          <t>Transaction Price</t>
        </is>
      </c>
      <c r="C15" s="256" t="inlineStr">
        <is>
          <t>$425,000</t>
        </is>
      </c>
      <c r="D15" s="256" t="inlineStr">
        <is>
          <t>Client payment</t>
        </is>
      </c>
      <c r="E15" s="256" t="inlineStr">
        <is>
          <t>Premium paid by client</t>
        </is>
      </c>
    </row>
    <row r="16">
      <c r="A16" s="256" t="inlineStr"/>
      <c r="B16" s="256" t="inlineStr">
        <is>
          <t>Day 1 Fair Value</t>
        </is>
      </c>
      <c r="C16" s="256" t="inlineStr">
        <is>
          <t>$306,000</t>
        </is>
      </c>
      <c r="D16" s="256" t="inlineStr">
        <is>
          <t>VC model</t>
        </is>
      </c>
      <c r="E16" s="256" t="inlineStr">
        <is>
          <t>72% survival probability</t>
        </is>
      </c>
    </row>
    <row r="17">
      <c r="A17" s="260" t="inlineStr"/>
      <c r="B17" s="260" t="inlineStr">
        <is>
          <t>DAY 1 P&amp;L</t>
        </is>
      </c>
      <c r="C17" s="260" t="inlineStr">
        <is>
          <t>+$119,000</t>
        </is>
      </c>
      <c r="D17" s="260" t="inlineStr">
        <is>
          <t>Diff</t>
        </is>
      </c>
      <c r="E17" s="260" t="inlineStr">
        <is>
          <t>39% overpayment</t>
        </is>
      </c>
    </row>
    <row r="19">
      <c r="A19" s="261" t="inlineStr">
        <is>
          <t>SECTION 3: 🚨 RED FLAGS</t>
        </is>
      </c>
    </row>
    <row r="20">
      <c r="A20" s="262" t="inlineStr">
        <is>
          <t>1. Client overpaid by 39% — why?</t>
        </is>
      </c>
    </row>
    <row r="21">
      <c r="A21" s="262" t="inlineStr">
        <is>
          <t>2. Level 3 (no observable market)</t>
        </is>
      </c>
    </row>
    <row r="22">
      <c r="A22" s="262" t="inlineStr">
        <is>
          <t>3. BofA information advantage</t>
        </is>
      </c>
    </row>
    <row r="23">
      <c r="A23" s="262" t="inlineStr">
        <is>
          <t>4. Earnings manipulation risk</t>
        </is>
      </c>
    </row>
    <row r="24">
      <c r="A24" s="262" t="inlineStr">
        <is>
          <t>5. IFRS 13 prohibits immediate recognition</t>
        </is>
      </c>
    </row>
    <row r="26">
      <c r="A26" s="263" t="inlineStr">
        <is>
          <t>SECTION 4: ACCOUNTING TREATMENT</t>
        </is>
      </c>
    </row>
    <row r="27">
      <c r="A27" s="193" t="inlineStr">
        <is>
          <t>Step 1: Record Trade</t>
        </is>
      </c>
    </row>
    <row r="28">
      <c r="A28" s="256" t="inlineStr"/>
      <c r="B28" s="256" t="inlineStr">
        <is>
          <t>DR: Cash</t>
        </is>
      </c>
      <c r="C28" s="256" t="inlineStr">
        <is>
          <t>$425,000</t>
        </is>
      </c>
      <c r="D28" s="256" t="inlineStr"/>
      <c r="E28" s="256" t="inlineStr">
        <is>
          <t>Client pays premium</t>
        </is>
      </c>
    </row>
    <row r="29">
      <c r="A29" s="256" t="inlineStr"/>
      <c r="B29" s="256" t="inlineStr">
        <is>
          <t>CR: Derivative Liability</t>
        </is>
      </c>
      <c r="C29" s="256" t="inlineStr"/>
      <c r="D29" s="256" t="inlineStr">
        <is>
          <t>$425,000</t>
        </is>
      </c>
      <c r="E29" s="256" t="inlineStr">
        <is>
          <t>Owe option to client</t>
        </is>
      </c>
    </row>
    <row r="31">
      <c r="A31" s="205" t="inlineStr">
        <is>
          <t>Step 2: Create Day 1 Reserve</t>
        </is>
      </c>
    </row>
    <row r="32">
      <c r="A32" s="256" t="inlineStr"/>
      <c r="B32" s="256" t="inlineStr">
        <is>
          <t>DR: Trading Revenue (contra)</t>
        </is>
      </c>
      <c r="C32" s="256" t="inlineStr">
        <is>
          <t>$119,000</t>
        </is>
      </c>
      <c r="D32" s="256" t="inlineStr"/>
      <c r="E32" s="256" t="inlineStr">
        <is>
          <t>Remove Day 1 profit</t>
        </is>
      </c>
    </row>
    <row r="33">
      <c r="A33" s="256" t="inlineStr"/>
      <c r="B33" s="256" t="inlineStr">
        <is>
          <t>CR: Day 1 P&amp;L Reserve</t>
        </is>
      </c>
      <c r="C33" s="256" t="inlineStr"/>
      <c r="D33" s="256" t="inlineStr">
        <is>
          <t>$119,000</t>
        </is>
      </c>
      <c r="E33" s="256" t="inlineStr">
        <is>
          <t>Liability reserve</t>
        </is>
      </c>
    </row>
    <row r="35">
      <c r="A35" s="264" t="inlineStr">
        <is>
          <t>NET EFFECT: Income Statement shows $0 profit on Day 1</t>
        </is>
      </c>
    </row>
    <row r="37">
      <c r="A37" s="254" t="inlineStr">
        <is>
          <t>SECTION 5: AMORTIZATION METHODS</t>
        </is>
      </c>
    </row>
    <row r="38">
      <c r="A38" s="212" t="inlineStr">
        <is>
          <t>METHOD 1: Straight-Line ($371.88/day × 320 days)</t>
        </is>
      </c>
    </row>
    <row r="39">
      <c r="A39" s="265" t="inlineStr"/>
      <c r="B39" s="265" t="inlineStr">
        <is>
          <t>Period</t>
        </is>
      </c>
      <c r="C39" s="265" t="inlineStr">
        <is>
          <t>Released</t>
        </is>
      </c>
      <c r="D39" s="265" t="inlineStr">
        <is>
          <t>Cumulative</t>
        </is>
      </c>
      <c r="E39" s="265" t="inlineStr">
        <is>
          <t>Remaining</t>
        </is>
      </c>
    </row>
    <row r="40">
      <c r="A40" s="256" t="inlineStr"/>
      <c r="B40" s="256" t="inlineStr">
        <is>
          <t>Day 1</t>
        </is>
      </c>
      <c r="C40" s="256" t="inlineStr">
        <is>
          <t>$0</t>
        </is>
      </c>
      <c r="D40" s="256" t="inlineStr">
        <is>
          <t>$0</t>
        </is>
      </c>
      <c r="E40" s="256" t="inlineStr">
        <is>
          <t>$119,000</t>
        </is>
      </c>
    </row>
    <row r="41">
      <c r="A41" s="256" t="inlineStr"/>
      <c r="B41" s="256" t="inlineStr">
        <is>
          <t>Month 1 (27d)</t>
        </is>
      </c>
      <c r="C41" s="256" t="inlineStr">
        <is>
          <t>$10,044</t>
        </is>
      </c>
      <c r="D41" s="256" t="inlineStr">
        <is>
          <t>$10,044</t>
        </is>
      </c>
      <c r="E41" s="256" t="inlineStr">
        <is>
          <t>$108,956</t>
        </is>
      </c>
    </row>
    <row r="42">
      <c r="A42" s="256" t="inlineStr"/>
      <c r="B42" s="256" t="inlineStr">
        <is>
          <t>Month 6 (180d)</t>
        </is>
      </c>
      <c r="C42" s="256" t="inlineStr">
        <is>
          <t>$34,972</t>
        </is>
      </c>
      <c r="D42" s="256" t="inlineStr">
        <is>
          <t>$66,964</t>
        </is>
      </c>
      <c r="E42" s="256" t="inlineStr">
        <is>
          <t>$52,036</t>
        </is>
      </c>
    </row>
    <row r="43">
      <c r="A43" s="266" t="inlineStr"/>
      <c r="B43" s="266" t="inlineStr">
        <is>
          <t>Expiry (320d)</t>
        </is>
      </c>
      <c r="C43" s="266" t="inlineStr">
        <is>
          <t>$18,556</t>
        </is>
      </c>
      <c r="D43" s="266" t="inlineStr">
        <is>
          <t>$119,000</t>
        </is>
      </c>
      <c r="E43" s="266" t="inlineStr">
        <is>
          <t>$0</t>
        </is>
      </c>
    </row>
    <row r="45">
      <c r="A45" s="212" t="inlineStr">
        <is>
          <t>METHOD 2: Fair Value Convergence (releases as FV changes)</t>
        </is>
      </c>
    </row>
    <row r="46">
      <c r="A46" s="265" t="inlineStr"/>
      <c r="B46" s="265" t="inlineStr">
        <is>
          <t>Date</t>
        </is>
      </c>
      <c r="C46" s="265" t="inlineStr">
        <is>
          <t>Fair Value</t>
        </is>
      </c>
      <c r="D46" s="265" t="inlineStr">
        <is>
          <t>Reserve Release</t>
        </is>
      </c>
      <c r="E46" s="265" t="inlineStr">
        <is>
          <t>Logic</t>
        </is>
      </c>
    </row>
    <row r="47">
      <c r="A47" s="256" t="inlineStr"/>
      <c r="B47" s="256" t="inlineStr">
        <is>
          <t>Jan 5</t>
        </is>
      </c>
      <c r="C47" s="256" t="inlineStr">
        <is>
          <t>$306,000</t>
        </is>
      </c>
      <c r="D47" s="256" t="inlineStr">
        <is>
          <t>$0</t>
        </is>
      </c>
      <c r="E47" s="256" t="inlineStr">
        <is>
          <t>Initial</t>
        </is>
      </c>
    </row>
    <row r="48">
      <c r="A48" s="256" t="inlineStr"/>
      <c r="B48" s="256" t="inlineStr">
        <is>
          <t>Feb 14</t>
        </is>
      </c>
      <c r="C48" s="256" t="inlineStr">
        <is>
          <t>$285,000</t>
        </is>
      </c>
      <c r="D48" s="256" t="inlineStr">
        <is>
          <t>$21,000</t>
        </is>
      </c>
      <c r="E48" s="256" t="inlineStr">
        <is>
          <t>FV dropped → release offsets loss</t>
        </is>
      </c>
    </row>
    <row r="49">
      <c r="A49" s="256" t="inlineStr"/>
      <c r="B49" s="256" t="inlineStr">
        <is>
          <t>Apr 1</t>
        </is>
      </c>
      <c r="C49" s="256" t="inlineStr">
        <is>
          <t>$310,000</t>
        </is>
      </c>
      <c r="D49" s="256" t="inlineStr">
        <is>
          <t>-$25,000</t>
        </is>
      </c>
      <c r="E49" s="256" t="inlineStr">
        <is>
          <t>FV rose → reserve increases</t>
        </is>
      </c>
    </row>
    <row r="51">
      <c r="A51" s="212" t="inlineStr">
        <is>
          <t>METHOD 3: Accelerated (when observable evidence emerges confirming FV)</t>
        </is>
      </c>
    </row>
    <row r="53">
      <c r="A53" s="267" t="inlineStr">
        <is>
          <t>SECTION 6: WHAT HAPPENS AT EXPIRY?</t>
        </is>
      </c>
    </row>
    <row r="54">
      <c r="A54" s="212" t="inlineStr">
        <is>
          <t>Scenario 1: Barrier Survives (EUR/USD stayed in range)</t>
        </is>
      </c>
    </row>
    <row r="55">
      <c r="A55" t="inlineStr">
        <is>
          <t>→ Pay client full payout, remaining reserve releases</t>
        </is>
      </c>
    </row>
    <row r="56">
      <c r="A56" s="212" t="inlineStr">
        <is>
          <t>Scenario 2: Barrier Knocked Out (hit 1.05 or 1.12)</t>
        </is>
      </c>
    </row>
    <row r="57">
      <c r="A57" t="inlineStr">
        <is>
          <t>→ Keep $425k premium, remaining reserve → immediate profit</t>
        </is>
      </c>
    </row>
    <row r="59">
      <c r="A59" s="268" t="inlineStr">
        <is>
          <t>KEY TAKEAWAYS</t>
        </is>
      </c>
    </row>
    <row r="60">
      <c r="A60" s="206" t="inlineStr">
        <is>
          <t>✓ Day 1 P&amp;L = Transaction - Fair Value</t>
        </is>
      </c>
    </row>
    <row r="61">
      <c r="A61" s="206" t="inlineStr">
        <is>
          <t>✓ Level 3 MUST defer Day 1 profit (IFRS 13)</t>
        </is>
      </c>
    </row>
    <row r="62">
      <c r="A62" s="206" t="inlineStr">
        <is>
          <t>✓ Reserve = Liability on balance sheet</t>
        </is>
      </c>
    </row>
    <row r="63">
      <c r="A63" s="206" t="inlineStr">
        <is>
          <t>✓ Releases over life via straight-line OR FV convergence</t>
        </is>
      </c>
    </row>
    <row r="64">
      <c r="A64" s="206" t="inlineStr">
        <is>
          <t>✓ Prevents earnings manipulation</t>
        </is>
      </c>
    </row>
    <row r="65">
      <c r="A65" s="206" t="inlineStr">
        <is>
          <t>✓ Regulators scrutinize large Day 1 gains</t>
        </is>
      </c>
    </row>
  </sheetData>
  <mergeCells count="31">
    <mergeCell ref="A59:E59"/>
    <mergeCell ref="A24:E24"/>
    <mergeCell ref="A64:E64"/>
    <mergeCell ref="A60:E60"/>
    <mergeCell ref="A51:E51"/>
    <mergeCell ref="A1:E1"/>
    <mergeCell ref="A45:E45"/>
    <mergeCell ref="A61:E61"/>
    <mergeCell ref="A65:E65"/>
    <mergeCell ref="A54:E54"/>
    <mergeCell ref="A37:E37"/>
    <mergeCell ref="A56:E56"/>
    <mergeCell ref="A27:E27"/>
    <mergeCell ref="A21:E21"/>
    <mergeCell ref="A55:E55"/>
    <mergeCell ref="A26:E26"/>
    <mergeCell ref="A57:E57"/>
    <mergeCell ref="A2:E2"/>
    <mergeCell ref="A5:E5"/>
    <mergeCell ref="A23:E23"/>
    <mergeCell ref="A22:E22"/>
    <mergeCell ref="A53:E53"/>
    <mergeCell ref="A35:E35"/>
    <mergeCell ref="A4:E4"/>
    <mergeCell ref="A62:E62"/>
    <mergeCell ref="A20:E20"/>
    <mergeCell ref="A38:E38"/>
    <mergeCell ref="A10:E10"/>
    <mergeCell ref="A19:E19"/>
    <mergeCell ref="A63:E63"/>
    <mergeCell ref="A31:E3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30" customHeight="1">
      <c r="A1" s="153" t="inlineStr">
        <is>
          <t>GREEKS ANALYSIS &amp; P&amp;L ATTRIBUTION — BARRIER OPTION</t>
        </is>
      </c>
      <c r="B1" s="151" t="n"/>
      <c r="C1" s="151" t="n"/>
      <c r="D1" s="151" t="n"/>
      <c r="E1" s="151" t="n"/>
      <c r="F1" s="151" t="n"/>
      <c r="G1" s="152" t="n"/>
    </row>
    <row r="2">
      <c r="A2" s="270" t="inlineStr">
        <is>
          <t>Understanding Daily P&amp;L Movements Through Delta, Vega, Gamma, Theta | Valuation Control</t>
        </is>
      </c>
      <c r="B2" s="151" t="n"/>
      <c r="C2" s="151" t="n"/>
      <c r="D2" s="151" t="n"/>
      <c r="E2" s="151" t="n"/>
      <c r="F2" s="151" t="n"/>
      <c r="G2" s="152" t="n"/>
    </row>
    <row r="4" ht="24" customHeight="1">
      <c r="A4" s="155" t="inlineStr">
        <is>
          <t>SECTION 1: TRADER'S POSITION &amp; BASE GREEKS</t>
        </is>
      </c>
      <c r="B4" s="151" t="n"/>
      <c r="C4" s="151" t="n"/>
      <c r="D4" s="151" t="n"/>
      <c r="E4" s="151" t="n"/>
      <c r="F4" s="151" t="n"/>
      <c r="G4" s="152" t="n"/>
    </row>
    <row r="5">
      <c r="A5" s="273" t="inlineStr"/>
      <c r="B5" s="157" t="inlineStr">
        <is>
          <t>Position Type</t>
        </is>
      </c>
      <c r="C5" s="274" t="inlineStr">
        <is>
          <t>BofA is SHORT the EUR/USD Double-No-Touch Barrier Option (sold to client)</t>
        </is>
      </c>
      <c r="D5" s="151" t="n"/>
      <c r="E5" s="151" t="n"/>
      <c r="F5" s="151" t="n"/>
      <c r="G5" s="152" t="n"/>
    </row>
    <row r="6">
      <c r="A6" s="165" t="inlineStr"/>
      <c r="B6" s="276" t="inlineStr">
        <is>
          <t>Notional</t>
        </is>
      </c>
      <c r="C6" s="186" t="inlineStr">
        <is>
          <t>$50,000,000</t>
        </is>
      </c>
      <c r="D6" s="277" t="inlineStr">
        <is>
          <t>Size of underlying exposure</t>
        </is>
      </c>
      <c r="E6" s="151" t="n"/>
      <c r="F6" s="151" t="n"/>
      <c r="G6" s="152" t="n"/>
    </row>
    <row r="7">
      <c r="A7" s="165" t="inlineStr"/>
      <c r="B7" s="276" t="inlineStr">
        <is>
          <t>Premium Received</t>
        </is>
      </c>
      <c r="C7" s="186" t="inlineStr">
        <is>
          <t>$425,000</t>
        </is>
      </c>
      <c r="D7" s="277" t="inlineStr">
        <is>
          <t>Client paid BofA this amount</t>
        </is>
      </c>
      <c r="E7" s="151" t="n"/>
      <c r="F7" s="151" t="n"/>
      <c r="G7" s="152" t="n"/>
    </row>
    <row r="8">
      <c r="A8" s="165" t="inlineStr"/>
      <c r="B8" s="276" t="inlineStr">
        <is>
          <t>Current Fair Value</t>
        </is>
      </c>
      <c r="C8" s="186" t="inlineStr">
        <is>
          <t>$306,000</t>
        </is>
      </c>
      <c r="D8" s="277" t="inlineStr">
        <is>
          <t>VC mark-to-market value</t>
        </is>
      </c>
      <c r="E8" s="151" t="n"/>
      <c r="F8" s="151" t="n"/>
      <c r="G8" s="152" t="n"/>
    </row>
    <row r="9">
      <c r="A9" s="165" t="inlineStr"/>
      <c r="B9" s="276" t="inlineStr">
        <is>
          <t>Position MTM</t>
        </is>
      </c>
      <c r="C9" s="186" t="inlineStr">
        <is>
          <t>$119,000 profit</t>
        </is>
      </c>
      <c r="D9" s="277" t="inlineStr">
        <is>
          <t>Since we're short, lower value = profit</t>
        </is>
      </c>
      <c r="E9" s="151" t="n"/>
      <c r="F9" s="151" t="n"/>
      <c r="G9" s="152" t="n"/>
    </row>
    <row r="10">
      <c r="A10" s="165" t="inlineStr"/>
      <c r="B10" s="276" t="inlineStr">
        <is>
          <t>Days to Expiry</t>
        </is>
      </c>
      <c r="C10" s="186" t="inlineStr">
        <is>
          <t>320 days</t>
        </is>
      </c>
      <c r="D10" s="277" t="inlineStr">
        <is>
          <t>From Feb 14, 2025 to Dec 31, 2025</t>
        </is>
      </c>
      <c r="E10" s="151" t="n"/>
      <c r="F10" s="151" t="n"/>
      <c r="G10" s="152" t="n"/>
    </row>
    <row r="12" ht="24" customHeight="1">
      <c r="A12" s="279" t="inlineStr">
        <is>
          <t>SECTION 2: THE GREEKS — What They Measure</t>
        </is>
      </c>
      <c r="B12" s="151" t="n"/>
      <c r="C12" s="151" t="n"/>
      <c r="D12" s="151" t="n"/>
      <c r="E12" s="151" t="n"/>
      <c r="F12" s="151" t="n"/>
      <c r="G12" s="152" t="n"/>
    </row>
    <row r="13">
      <c r="A13" s="281" t="inlineStr"/>
      <c r="B13" s="282" t="inlineStr">
        <is>
          <t>Greek</t>
        </is>
      </c>
      <c r="C13" s="282" t="inlineStr">
        <is>
          <t>Measures</t>
        </is>
      </c>
      <c r="D13" s="282" t="inlineStr">
        <is>
          <t>Formula</t>
        </is>
      </c>
      <c r="E13" s="282" t="inlineStr">
        <is>
          <t>Units</t>
        </is>
      </c>
      <c r="F13" s="283" t="inlineStr">
        <is>
          <t>Interpretation</t>
        </is>
      </c>
      <c r="G13" s="152" t="n"/>
    </row>
    <row r="14">
      <c r="A14" s="174" t="inlineStr"/>
      <c r="B14" s="285" t="inlineStr">
        <is>
          <t>Delta (Δ)</t>
        </is>
      </c>
      <c r="C14" s="182" t="inlineStr">
        <is>
          <t>Spot sensitivity</t>
        </is>
      </c>
      <c r="D14" s="182" t="inlineStr">
        <is>
          <t>∂V/∂S</t>
        </is>
      </c>
      <c r="E14" s="182" t="inlineStr">
        <is>
          <t>$ per 1 pip</t>
        </is>
      </c>
      <c r="F14" s="182" t="inlineStr">
        <is>
          <t>How much value changes when EUR/USD moves 1 pip (0.0001)</t>
        </is>
      </c>
      <c r="G14" s="152" t="n"/>
    </row>
    <row r="15">
      <c r="A15" s="165" t="inlineStr"/>
      <c r="B15" s="287" t="inlineStr">
        <is>
          <t>Gamma (Γ)</t>
        </is>
      </c>
      <c r="C15" s="184" t="inlineStr">
        <is>
          <t>Delta sensitivity</t>
        </is>
      </c>
      <c r="D15" s="184" t="inlineStr">
        <is>
          <t>∂²V/∂S²</t>
        </is>
      </c>
      <c r="E15" s="184" t="inlineStr">
        <is>
          <t>Delta per 1 pip</t>
        </is>
      </c>
      <c r="F15" s="184" t="inlineStr">
        <is>
          <t>How much Delta changes when spot moves 1 pip</t>
        </is>
      </c>
      <c r="G15" s="152" t="n"/>
    </row>
    <row r="16">
      <c r="A16" s="174" t="inlineStr"/>
      <c r="B16" s="285" t="inlineStr">
        <is>
          <t>Vega (ν)</t>
        </is>
      </c>
      <c r="C16" s="182" t="inlineStr">
        <is>
          <t>Vol sensitivity</t>
        </is>
      </c>
      <c r="D16" s="182" t="inlineStr">
        <is>
          <t>∂V/∂σ</t>
        </is>
      </c>
      <c r="E16" s="182" t="inlineStr">
        <is>
          <t>$ per 1% vol</t>
        </is>
      </c>
      <c r="F16" s="182" t="inlineStr">
        <is>
          <t>How much value changes when vol moves 1% (e.g., 6.8% → 7.8%)</t>
        </is>
      </c>
      <c r="G16" s="152" t="n"/>
    </row>
    <row r="17">
      <c r="A17" s="165" t="inlineStr"/>
      <c r="B17" s="287" t="inlineStr">
        <is>
          <t>Theta (Θ)</t>
        </is>
      </c>
      <c r="C17" s="184" t="inlineStr">
        <is>
          <t>Time decay</t>
        </is>
      </c>
      <c r="D17" s="184" t="inlineStr">
        <is>
          <t>∂V/∂t</t>
        </is>
      </c>
      <c r="E17" s="184" t="inlineStr">
        <is>
          <t>$ per day</t>
        </is>
      </c>
      <c r="F17" s="184" t="inlineStr">
        <is>
          <t>How much value decays each day (time value erosion)</t>
        </is>
      </c>
      <c r="G17" s="152" t="n"/>
    </row>
    <row r="18">
      <c r="A18" s="174" t="inlineStr"/>
      <c r="B18" s="285" t="inlineStr">
        <is>
          <t>Rho (ρ)</t>
        </is>
      </c>
      <c r="C18" s="182" t="inlineStr">
        <is>
          <t>Rate sensitivity</t>
        </is>
      </c>
      <c r="D18" s="182" t="inlineStr">
        <is>
          <t>∂V/∂r</t>
        </is>
      </c>
      <c r="E18" s="182" t="inlineStr">
        <is>
          <t>$ per 1% rate</t>
        </is>
      </c>
      <c r="F18" s="182" t="inlineStr">
        <is>
          <t>How much value changes when interest rates move 1%</t>
        </is>
      </c>
      <c r="G18" s="152" t="n"/>
    </row>
    <row r="20" ht="24" customHeight="1">
      <c r="A20" s="170" t="inlineStr">
        <is>
          <t>SECTION 3: BARRIER OPTION GREEKS (as of Feb 14, 2025)</t>
        </is>
      </c>
      <c r="B20" s="151" t="n"/>
      <c r="C20" s="151" t="n"/>
      <c r="D20" s="151" t="n"/>
      <c r="E20" s="151" t="n"/>
      <c r="F20" s="151" t="n"/>
      <c r="G20" s="152" t="n"/>
    </row>
    <row r="21">
      <c r="A21" s="289" t="inlineStr"/>
      <c r="B21" s="172" t="inlineStr">
        <is>
          <t>Greek</t>
        </is>
      </c>
      <c r="C21" s="172" t="inlineStr">
        <is>
          <t>Long Position</t>
        </is>
      </c>
      <c r="D21" s="172" t="inlineStr">
        <is>
          <t>SHORT Position</t>
        </is>
      </c>
      <c r="E21" s="172" t="inlineStr">
        <is>
          <t>Units</t>
        </is>
      </c>
      <c r="F21" s="290" t="inlineStr">
        <is>
          <t>What This Means for BofA (SHORT)</t>
        </is>
      </c>
      <c r="G21" s="152" t="n"/>
    </row>
    <row r="22">
      <c r="A22" s="174" t="inlineStr"/>
      <c r="B22" s="285" t="inlineStr">
        <is>
          <t>Delta</t>
        </is>
      </c>
      <c r="C22" s="182" t="inlineStr">
        <is>
          <t>$-15,000</t>
        </is>
      </c>
      <c r="D22" s="292" t="inlineStr">
        <is>
          <t>$15,000</t>
        </is>
      </c>
      <c r="E22" s="293" t="inlineStr">
        <is>
          <t>per 0.01 move</t>
        </is>
      </c>
      <c r="F22" s="182" t="inlineStr">
        <is>
          <t>We LOSE $15k if EUR/USD rises 0.01 (spot → 1.0923)</t>
        </is>
      </c>
      <c r="G22" s="152" t="n"/>
    </row>
    <row r="23">
      <c r="A23" s="294" t="inlineStr"/>
      <c r="B23" s="295" t="inlineStr">
        <is>
          <t>Delta (per pip)</t>
        </is>
      </c>
      <c r="C23" s="296" t="inlineStr">
        <is>
          <t>$-1.50</t>
        </is>
      </c>
      <c r="D23" s="292" t="inlineStr">
        <is>
          <t>$1.50</t>
        </is>
      </c>
      <c r="E23" s="297" t="inlineStr">
        <is>
          <t>per 0.0001 move</t>
        </is>
      </c>
      <c r="F23" s="296" t="inlineStr">
        <is>
          <t>We LOSE $1.50 if EUR/USD rises 1 pip (spot → 1.0824)</t>
        </is>
      </c>
      <c r="G23" s="152" t="n"/>
    </row>
    <row r="24">
      <c r="A24" s="174" t="inlineStr"/>
      <c r="B24" s="285" t="inlineStr">
        <is>
          <t>Gamma</t>
        </is>
      </c>
      <c r="C24" s="182" t="inlineStr">
        <is>
          <t>$-8,500</t>
        </is>
      </c>
      <c r="D24" s="292" t="inlineStr">
        <is>
          <t>$8,500</t>
        </is>
      </c>
      <c r="E24" s="293" t="inlineStr">
        <is>
          <t>Delta per 0.01</t>
        </is>
      </c>
      <c r="F24" s="182" t="inlineStr">
        <is>
          <t>Our Delta INCREASES by $8.5k (becomes more negative) when spot moves 0.01</t>
        </is>
      </c>
      <c r="G24" s="152" t="n"/>
    </row>
    <row r="25">
      <c r="A25" s="165" t="inlineStr"/>
      <c r="B25" s="287" t="inlineStr">
        <is>
          <t>Vega</t>
        </is>
      </c>
      <c r="C25" s="184" t="inlineStr">
        <is>
          <t>+$21,250</t>
        </is>
      </c>
      <c r="D25" s="299" t="inlineStr">
        <is>
          <t>$-21,250</t>
        </is>
      </c>
      <c r="E25" s="300" t="inlineStr">
        <is>
          <t>per 1% vol</t>
        </is>
      </c>
      <c r="F25" s="184" t="inlineStr">
        <is>
          <t>We LOSE $21,250 if vol increases 1% (6.8% → 7.8%) — higher vol = more barrier risk</t>
        </is>
      </c>
      <c r="G25" s="152" t="n"/>
    </row>
    <row r="26">
      <c r="A26" s="174" t="inlineStr"/>
      <c r="B26" s="285" t="inlineStr">
        <is>
          <t>Theta</t>
        </is>
      </c>
      <c r="C26" s="182" t="inlineStr">
        <is>
          <t>-$1,200</t>
        </is>
      </c>
      <c r="D26" s="292" t="inlineStr">
        <is>
          <t>$1,200</t>
        </is>
      </c>
      <c r="E26" s="293" t="inlineStr">
        <is>
          <t>per day</t>
        </is>
      </c>
      <c r="F26" s="182" t="inlineStr">
        <is>
          <t>We GAIN $1,200/day from time decay — option becomes less valuable each day</t>
        </is>
      </c>
      <c r="G26" s="152" t="n"/>
    </row>
    <row r="28" ht="24" customHeight="1">
      <c r="A28" s="185" t="inlineStr">
        <is>
          <t>SECTION 4: DAILY P&amp;L ATTRIBUTION — Feb 14 to Feb 15</t>
        </is>
      </c>
      <c r="B28" s="151" t="n"/>
      <c r="C28" s="151" t="n"/>
      <c r="D28" s="151" t="n"/>
      <c r="E28" s="151" t="n"/>
      <c r="F28" s="151" t="n"/>
      <c r="G28" s="152" t="n"/>
    </row>
    <row r="29">
      <c r="A29" s="168" t="inlineStr">
        <is>
          <t>Market Moves Overnight:</t>
        </is>
      </c>
      <c r="B29" s="151" t="n"/>
      <c r="C29" s="151" t="n"/>
      <c r="D29" s="151" t="n"/>
      <c r="E29" s="151" t="n"/>
      <c r="F29" s="151" t="n"/>
      <c r="G29" s="152" t="n"/>
    </row>
    <row r="30">
      <c r="A30" s="294" t="inlineStr"/>
      <c r="B30" s="186" t="inlineStr">
        <is>
          <t>Market Factor</t>
        </is>
      </c>
      <c r="C30" s="186" t="inlineStr">
        <is>
          <t>Feb 14 Close</t>
        </is>
      </c>
      <c r="D30" s="186" t="inlineStr">
        <is>
          <t>Feb 15 Open</t>
        </is>
      </c>
      <c r="E30" s="186" t="inlineStr">
        <is>
          <t>Change</t>
        </is>
      </c>
      <c r="F30" s="302" t="inlineStr">
        <is>
          <t>Impact</t>
        </is>
      </c>
      <c r="G30" s="152" t="n"/>
    </row>
    <row r="31">
      <c r="A31" s="165" t="inlineStr"/>
      <c r="B31" s="184" t="inlineStr">
        <is>
          <t>EUR/USD Spot</t>
        </is>
      </c>
      <c r="C31" s="184" t="inlineStr">
        <is>
          <t>1.0823</t>
        </is>
      </c>
      <c r="D31" s="303" t="inlineStr">
        <is>
          <t>1.0875</t>
        </is>
      </c>
      <c r="E31" s="304" t="inlineStr">
        <is>
          <t>+0.0052</t>
        </is>
      </c>
      <c r="F31" s="184" t="inlineStr">
        <is>
          <t>+52 pips (closer to upper barrier 1.12)</t>
        </is>
      </c>
      <c r="G31" s="152" t="n"/>
    </row>
    <row r="32">
      <c r="A32" s="174" t="inlineStr"/>
      <c r="B32" s="182" t="inlineStr">
        <is>
          <t>Implied Vol</t>
        </is>
      </c>
      <c r="C32" s="182" t="inlineStr">
        <is>
          <t>6.8%</t>
        </is>
      </c>
      <c r="D32" s="303" t="inlineStr">
        <is>
          <t>7.2%</t>
        </is>
      </c>
      <c r="E32" s="304" t="inlineStr">
        <is>
          <t>+0.4%</t>
        </is>
      </c>
      <c r="F32" s="182" t="inlineStr">
        <is>
          <t>Vol increased 40bps (6.8% → 7.2%)</t>
        </is>
      </c>
      <c r="G32" s="152" t="n"/>
    </row>
    <row r="33">
      <c r="A33" s="165" t="inlineStr"/>
      <c r="B33" s="184" t="inlineStr">
        <is>
          <t>Time to Expiry</t>
        </is>
      </c>
      <c r="C33" s="184" t="inlineStr">
        <is>
          <t>320 days</t>
        </is>
      </c>
      <c r="D33" s="303" t="inlineStr">
        <is>
          <t>319 days</t>
        </is>
      </c>
      <c r="E33" s="303" t="inlineStr">
        <is>
          <t>-1 day</t>
        </is>
      </c>
      <c r="F33" s="184" t="inlineStr">
        <is>
          <t>One day closer to expiry</t>
        </is>
      </c>
      <c r="G33" s="152" t="n"/>
    </row>
    <row r="35">
      <c r="A35" s="191" t="inlineStr">
        <is>
          <t>P&amp;L ATTRIBUTION BREAKDOWN:</t>
        </is>
      </c>
      <c r="B35" s="151" t="n"/>
      <c r="C35" s="151" t="n"/>
      <c r="D35" s="151" t="n"/>
      <c r="E35" s="151" t="n"/>
      <c r="F35" s="151" t="n"/>
      <c r="G35" s="152" t="n"/>
    </row>
    <row r="36">
      <c r="A36" s="305" t="inlineStr"/>
      <c r="B36" s="306" t="inlineStr">
        <is>
          <t>Component</t>
        </is>
      </c>
      <c r="C36" s="306" t="inlineStr">
        <is>
          <t>Greek Used</t>
        </is>
      </c>
      <c r="D36" s="306" t="inlineStr">
        <is>
          <t>Calculation</t>
        </is>
      </c>
      <c r="E36" s="306" t="inlineStr">
        <is>
          <t>P&amp;L Impact</t>
        </is>
      </c>
      <c r="F36" s="307" t="inlineStr">
        <is>
          <t>Explanation</t>
        </is>
      </c>
      <c r="G36" s="152" t="n"/>
    </row>
    <row r="37">
      <c r="A37" s="165" t="inlineStr"/>
      <c r="B37" s="184" t="inlineStr">
        <is>
          <t>Delta P&amp;L</t>
        </is>
      </c>
      <c r="C37" s="184" t="inlineStr">
        <is>
          <t>Delta</t>
        </is>
      </c>
      <c r="D37" s="300" t="inlineStr">
        <is>
          <t>$15,000 × 0.0052</t>
        </is>
      </c>
      <c r="E37" s="309" t="inlineStr">
        <is>
          <t>$78</t>
        </is>
      </c>
      <c r="F37" s="184" t="inlineStr">
        <is>
          <t>Lost $78 because EUR/USD rose 52 pips toward upper barrier</t>
        </is>
      </c>
      <c r="G37" s="152" t="n"/>
    </row>
    <row r="38">
      <c r="A38" s="174" t="inlineStr"/>
      <c r="B38" s="182" t="inlineStr">
        <is>
          <t>Vega P&amp;L</t>
        </is>
      </c>
      <c r="C38" s="182" t="inlineStr">
        <is>
          <t>Vega</t>
        </is>
      </c>
      <c r="D38" s="293" t="inlineStr">
        <is>
          <t>-$21,250 × 0.4%</t>
        </is>
      </c>
      <c r="E38" s="310" t="inlineStr">
        <is>
          <t>$-8,500</t>
        </is>
      </c>
      <c r="F38" s="182" t="inlineStr">
        <is>
          <t>Lost $8,500 because vol increased — higher barrier breach risk</t>
        </is>
      </c>
      <c r="G38" s="152" t="n"/>
    </row>
    <row r="39">
      <c r="A39" s="165" t="inlineStr"/>
      <c r="B39" s="184" t="inlineStr">
        <is>
          <t>Theta P&amp;L</t>
        </is>
      </c>
      <c r="C39" s="184" t="inlineStr">
        <is>
          <t>Theta</t>
        </is>
      </c>
      <c r="D39" s="300" t="inlineStr">
        <is>
          <t>+$1,200 × 1 day</t>
        </is>
      </c>
      <c r="E39" s="311" t="inlineStr">
        <is>
          <t>+$-1,200</t>
        </is>
      </c>
      <c r="F39" s="184" t="inlineStr">
        <is>
          <t>Gained $1,200 from time decay — option worth less each day</t>
        </is>
      </c>
      <c r="G39" s="152" t="n"/>
    </row>
    <row r="40">
      <c r="A40" s="174" t="inlineStr"/>
      <c r="B40" s="182" t="inlineStr">
        <is>
          <t>Gamma P&amp;L</t>
        </is>
      </c>
      <c r="C40" s="182" t="inlineStr">
        <is>
          <t>Gamma</t>
        </is>
      </c>
      <c r="D40" s="293" t="inlineStr">
        <is>
          <t>0.5 × Γ × (ΔS)²</t>
        </is>
      </c>
      <c r="E40" s="312" t="inlineStr">
        <is>
          <t>$0</t>
        </is>
      </c>
      <c r="F40" s="182" t="inlineStr">
        <is>
          <t>Small convexity adjustment (second-order effect)</t>
        </is>
      </c>
      <c r="G40" s="152" t="n"/>
    </row>
    <row r="41">
      <c r="A41" s="294" t="inlineStr"/>
      <c r="B41" s="295" t="inlineStr">
        <is>
          <t>TOTAL P&amp;L</t>
        </is>
      </c>
      <c r="C41" s="296" t="inlineStr">
        <is>
          <t>—</t>
        </is>
      </c>
      <c r="D41" s="297" t="inlineStr">
        <is>
          <t>Sum of components</t>
        </is>
      </c>
      <c r="E41" s="299" t="inlineStr">
        <is>
          <t>$-7,222</t>
        </is>
      </c>
      <c r="F41" s="296" t="inlineStr">
        <is>
          <t>Net trading P&amp;L from Feb 14 to Feb 15</t>
        </is>
      </c>
      <c r="G41" s="152" t="n"/>
    </row>
    <row r="43" ht="24" customHeight="1">
      <c r="A43" s="155" t="inlineStr">
        <is>
          <t>SECTION 5: VALUATION CONTROL'S ROLE IN GREEK ANALYSIS</t>
        </is>
      </c>
      <c r="B43" s="151" t="n"/>
      <c r="C43" s="151" t="n"/>
      <c r="D43" s="151" t="n"/>
      <c r="E43" s="151" t="n"/>
      <c r="F43" s="151" t="n"/>
      <c r="G43" s="152" t="n"/>
    </row>
    <row r="44">
      <c r="A44" s="174" t="inlineStr"/>
      <c r="B44" s="285" t="inlineStr">
        <is>
          <t>Daily P&amp;L Explain</t>
        </is>
      </c>
      <c r="C44" s="182" t="inlineStr">
        <is>
          <t>VC independently calculates Greeks and verifies trader's P&amp;L attribution</t>
        </is>
      </c>
      <c r="D44" s="151" t="n"/>
      <c r="E44" s="152" t="n"/>
      <c r="F44" s="293" t="inlineStr">
        <is>
          <t>If trader shows -$7.5k P&amp;L but VC calculates -$7.6k → investigate $100 difference</t>
        </is>
      </c>
      <c r="G44" s="152" t="n"/>
    </row>
    <row r="45">
      <c r="A45" s="273" t="inlineStr"/>
      <c r="B45" s="313" t="inlineStr">
        <is>
          <t>Greek Validation</t>
        </is>
      </c>
      <c r="C45" s="314" t="inlineStr">
        <is>
          <t>Compare VC Greeks vs Desk Greeks — should match within tolerance</t>
        </is>
      </c>
      <c r="D45" s="151" t="n"/>
      <c r="E45" s="152" t="n"/>
      <c r="F45" s="315" t="inlineStr">
        <is>
          <t>Delta tolerance ±5%, Vega ±10% (higher for illiquid barriers)</t>
        </is>
      </c>
      <c r="G45" s="152" t="n"/>
    </row>
    <row r="46">
      <c r="A46" s="174" t="inlineStr"/>
      <c r="B46" s="285" t="inlineStr">
        <is>
          <t>Model Risk Check</t>
        </is>
      </c>
      <c r="C46" s="182" t="inlineStr">
        <is>
          <t>Ensure desk uses correct barrier formula (daily vs weekly observation)</t>
        </is>
      </c>
      <c r="D46" s="151" t="n"/>
      <c r="E46" s="152" t="n"/>
      <c r="F46" s="293" t="inlineStr">
        <is>
          <t>Desk using weekly → incorrect Greeks → misstated risk position</t>
        </is>
      </c>
      <c r="G46" s="152" t="n"/>
    </row>
    <row r="47">
      <c r="A47" s="273" t="inlineStr"/>
      <c r="B47" s="313" t="inlineStr">
        <is>
          <t>Risk Limit Monitoring</t>
        </is>
      </c>
      <c r="C47" s="314" t="inlineStr">
        <is>
          <t>Desk has Delta limit $500k, Vega limit $2m — VC verifies</t>
        </is>
      </c>
      <c r="D47" s="151" t="n"/>
      <c r="E47" s="152" t="n"/>
      <c r="F47" s="315" t="inlineStr">
        <is>
          <t>If position Delta exceeds limit → escalate to risk management</t>
        </is>
      </c>
      <c r="G47" s="152" t="n"/>
    </row>
    <row r="48">
      <c r="A48" s="174" t="inlineStr"/>
      <c r="B48" s="285" t="inlineStr">
        <is>
          <t>Stress Testing</t>
        </is>
      </c>
      <c r="C48" s="182" t="inlineStr">
        <is>
          <t>Run scenarios: What if EUR/USD hits 1.10? Vol spikes to 10%?</t>
        </is>
      </c>
      <c r="D48" s="151" t="n"/>
      <c r="E48" s="152" t="n"/>
      <c r="F48" s="293" t="inlineStr">
        <is>
          <t>Barrier option Greeks are non-linear near barriers — need scenario analysis</t>
        </is>
      </c>
      <c r="G48" s="152" t="n"/>
    </row>
    <row r="49">
      <c r="A49" s="273" t="inlineStr"/>
      <c r="B49" s="313" t="inlineStr">
        <is>
          <t>Regulatory Reporting</t>
        </is>
      </c>
      <c r="C49" s="314" t="inlineStr">
        <is>
          <t>Report Greeks to risk committee, regulators (FRTB sensitivities)</t>
        </is>
      </c>
      <c r="D49" s="151" t="n"/>
      <c r="E49" s="152" t="n"/>
      <c r="F49" s="315" t="inlineStr">
        <is>
          <t>Daily VaR calculation requires accurate Greeks for barrier products</t>
        </is>
      </c>
      <c r="G49" s="152" t="n"/>
    </row>
    <row r="51">
      <c r="A51" s="178" t="inlineStr">
        <is>
          <t>SECTION 6: KEY INSIGHTS FOR BARRIER OPTIONS</t>
        </is>
      </c>
      <c r="B51" s="151" t="n"/>
      <c r="C51" s="151" t="n"/>
      <c r="D51" s="151" t="n"/>
      <c r="E51" s="151" t="n"/>
      <c r="F51" s="151" t="n"/>
      <c r="G51" s="152" t="n"/>
    </row>
    <row r="52">
      <c r="A52" s="317" t="inlineStr">
        <is>
          <t>✓ Delta is NEGATIVE for short barrier — we lose when spot approaches barriers</t>
        </is>
      </c>
      <c r="B52" s="151" t="n"/>
      <c r="C52" s="151" t="n"/>
      <c r="D52" s="151" t="n"/>
      <c r="E52" s="151" t="n"/>
      <c r="F52" s="151" t="n"/>
      <c r="G52" s="152" t="n"/>
    </row>
    <row r="53">
      <c r="A53" s="317" t="inlineStr">
        <is>
          <t>✓ Vega is NEGATIVE for short — higher vol = higher barrier breach risk</t>
        </is>
      </c>
      <c r="B53" s="151" t="n"/>
      <c r="C53" s="151" t="n"/>
      <c r="D53" s="151" t="n"/>
      <c r="E53" s="151" t="n"/>
      <c r="F53" s="151" t="n"/>
      <c r="G53" s="152" t="n"/>
    </row>
    <row r="54">
      <c r="A54" s="317" t="inlineStr">
        <is>
          <t>✓ Theta is POSITIVE for short — we benefit from time decay</t>
        </is>
      </c>
      <c r="B54" s="151" t="n"/>
      <c r="C54" s="151" t="n"/>
      <c r="D54" s="151" t="n"/>
      <c r="E54" s="151" t="n"/>
      <c r="F54" s="151" t="n"/>
      <c r="G54" s="152" t="n"/>
    </row>
    <row r="55">
      <c r="A55" s="317" t="inlineStr">
        <is>
          <t>✓ Gamma is complex near barriers — can flip sign depending on spot location</t>
        </is>
      </c>
      <c r="B55" s="151" t="n"/>
      <c r="C55" s="151" t="n"/>
      <c r="D55" s="151" t="n"/>
      <c r="E55" s="151" t="n"/>
      <c r="F55" s="151" t="n"/>
      <c r="G55" s="152" t="n"/>
    </row>
    <row r="56">
      <c r="A56" s="317" t="inlineStr">
        <is>
          <t>✓ P&amp;L Attribution = ΔP&amp;L + Vega P&amp;L + Theta P&amp;L + Gamma P&amp;L + unexplained</t>
        </is>
      </c>
      <c r="B56" s="151" t="n"/>
      <c r="C56" s="151" t="n"/>
      <c r="D56" s="151" t="n"/>
      <c r="E56" s="151" t="n"/>
      <c r="F56" s="151" t="n"/>
      <c r="G56" s="152" t="n"/>
    </row>
    <row r="57">
      <c r="A57" s="317" t="inlineStr">
        <is>
          <t>✓ Unexplained P&amp;L should be &lt; 5% of total — otherwise model issue</t>
        </is>
      </c>
      <c r="B57" s="151" t="n"/>
      <c r="C57" s="151" t="n"/>
      <c r="D57" s="151" t="n"/>
      <c r="E57" s="151" t="n"/>
      <c r="F57" s="151" t="n"/>
      <c r="G57" s="152" t="n"/>
    </row>
    <row r="58">
      <c r="A58" s="317" t="inlineStr">
        <is>
          <t>✓ VC validates desk Greeks independently to ensure accurate risk reporting</t>
        </is>
      </c>
      <c r="B58" s="151" t="n"/>
      <c r="C58" s="151" t="n"/>
      <c r="D58" s="151" t="n"/>
      <c r="E58" s="151" t="n"/>
      <c r="F58" s="151" t="n"/>
      <c r="G58" s="152" t="n"/>
    </row>
  </sheetData>
  <mergeCells count="57">
    <mergeCell ref="D9:G9"/>
    <mergeCell ref="C44:E44"/>
    <mergeCell ref="F16:G16"/>
    <mergeCell ref="D8:G8"/>
    <mergeCell ref="A53:G53"/>
    <mergeCell ref="F25:G25"/>
    <mergeCell ref="A35:G35"/>
    <mergeCell ref="A4:G4"/>
    <mergeCell ref="A20:G20"/>
    <mergeCell ref="C5:G5"/>
    <mergeCell ref="A29:G29"/>
    <mergeCell ref="A52:G52"/>
    <mergeCell ref="A43:G43"/>
    <mergeCell ref="F40:G40"/>
    <mergeCell ref="A28:G28"/>
    <mergeCell ref="C46:E46"/>
    <mergeCell ref="F21:G21"/>
    <mergeCell ref="A58:G58"/>
    <mergeCell ref="F24:G24"/>
    <mergeCell ref="F30:G30"/>
    <mergeCell ref="F15:G15"/>
    <mergeCell ref="F18:G18"/>
    <mergeCell ref="F33:G33"/>
    <mergeCell ref="F45:G45"/>
    <mergeCell ref="C48:E48"/>
    <mergeCell ref="F36:G36"/>
    <mergeCell ref="F32:G32"/>
    <mergeCell ref="D10:G10"/>
    <mergeCell ref="F26:G26"/>
    <mergeCell ref="F41:G41"/>
    <mergeCell ref="A51:G51"/>
    <mergeCell ref="F17:G17"/>
    <mergeCell ref="A1:G1"/>
    <mergeCell ref="F47:G47"/>
    <mergeCell ref="F38:G38"/>
    <mergeCell ref="D6:G6"/>
    <mergeCell ref="F23:G23"/>
    <mergeCell ref="C49:E49"/>
    <mergeCell ref="F31:G31"/>
    <mergeCell ref="F46:G46"/>
    <mergeCell ref="A54:G54"/>
    <mergeCell ref="F22:G22"/>
    <mergeCell ref="F13:G13"/>
    <mergeCell ref="F37:G37"/>
    <mergeCell ref="F39:G39"/>
    <mergeCell ref="F48:G48"/>
    <mergeCell ref="A56:G56"/>
    <mergeCell ref="C45:E45"/>
    <mergeCell ref="A55:G55"/>
    <mergeCell ref="A12:G12"/>
    <mergeCell ref="D7:G7"/>
    <mergeCell ref="F49:G49"/>
    <mergeCell ref="A2:G2"/>
    <mergeCell ref="F14:G14"/>
    <mergeCell ref="A57:G57"/>
    <mergeCell ref="F44:G44"/>
    <mergeCell ref="C47:E4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0" customWidth="1" min="4" max="4"/>
    <col width="30" customWidth="1" min="5" max="5"/>
  </cols>
  <sheetData>
    <row r="1" ht="28" customHeight="1">
      <c r="A1" s="252" t="inlineStr">
        <is>
          <t>MODEL DISPUTES &amp; VC PUSHBACK — Real Examples</t>
        </is>
      </c>
    </row>
    <row r="2">
      <c r="A2" s="253" t="inlineStr">
        <is>
          <t>Smile Interpolation | Local Vol | Stochastic Vol | How I Challenged FO/Quants</t>
        </is>
      </c>
    </row>
    <row r="4">
      <c r="A4" s="319" t="inlineStr">
        <is>
          <t>SECTION 1: VOLATILITY SURFACE — Foundation Concepts</t>
        </is>
      </c>
    </row>
    <row r="5">
      <c r="B5" s="193" t="inlineStr">
        <is>
          <t>Concept</t>
        </is>
      </c>
      <c r="C5" s="193" t="inlineStr">
        <is>
          <t>Explanation</t>
        </is>
      </c>
    </row>
    <row r="6">
      <c r="B6" s="320" t="inlineStr">
        <is>
          <t>Vol Smile</t>
        </is>
      </c>
      <c r="C6" t="inlineStr">
        <is>
          <t>ATM: 6.8%, 25Δ Put: 7.2%, 25Δ Call: 7.0% — OTM options trade higher vol</t>
        </is>
      </c>
    </row>
    <row r="7">
      <c r="B7" s="320" t="inlineStr">
        <is>
          <t>Risk Reversal</t>
        </is>
      </c>
      <c r="C7" t="inlineStr">
        <is>
          <t>RR = Vol(Call) - Vol(Put) = -0.2% (put skew in EUR/USD)</t>
        </is>
      </c>
    </row>
    <row r="8">
      <c r="B8" s="320" t="inlineStr">
        <is>
          <t>Butterfly</t>
        </is>
      </c>
      <c r="C8" t="inlineStr">
        <is>
          <t>BF = Avg(wings) - ATM = 0.3% (smile curvature)</t>
        </is>
      </c>
    </row>
    <row r="9">
      <c r="B9" s="320" t="inlineStr">
        <is>
          <t>Interpolation Problem</t>
        </is>
      </c>
      <c r="C9" t="inlineStr">
        <is>
          <t>Market quotes only at 10Δ, 25Δ, ATM, 75Δ, 90Δ. Need vol at any strike.</t>
        </is>
      </c>
    </row>
    <row r="11">
      <c r="A11" s="321" t="inlineStr">
        <is>
          <t>SECTION 2: THREE MODELING APPROACHES</t>
        </is>
      </c>
    </row>
    <row r="12">
      <c r="B12" s="322" t="inlineStr">
        <is>
          <t>Model</t>
        </is>
      </c>
      <c r="C12" s="322" t="inlineStr">
        <is>
          <t>How It Works</t>
        </is>
      </c>
      <c r="D12" s="322" t="inlineStr">
        <is>
          <t>Pros</t>
        </is>
      </c>
      <c r="E12" s="322" t="inlineStr">
        <is>
          <t>Cons</t>
        </is>
      </c>
    </row>
    <row r="13" ht="24" customHeight="1">
      <c r="B13" s="320" t="inlineStr">
        <is>
          <t>SMILE INTERPOLATION</t>
        </is>
      </c>
      <c r="C13" s="323" t="inlineStr">
        <is>
          <t>Fit curve (spline/SABR) to market quotes</t>
        </is>
      </c>
      <c r="D13" s="323" t="inlineStr">
        <is>
          <t>Fast, exact fit</t>
        </is>
      </c>
      <c r="E13" s="323" t="inlineStr">
        <is>
          <t>No dynamics, static</t>
        </is>
      </c>
    </row>
    <row r="14" ht="24" customHeight="1">
      <c r="B14" s="320" t="inlineStr">
        <is>
          <t>LOCAL VOL (Dupire)</t>
        </is>
      </c>
      <c r="C14" s="323" t="inlineStr">
        <is>
          <t>σ(S,t) deterministic from vanilla prices</t>
        </is>
      </c>
      <c r="D14" s="323" t="inlineStr">
        <is>
          <t>Arbitrage-free</t>
        </is>
      </c>
      <c r="E14" s="323" t="inlineStr">
        <is>
          <t>No vol-of-vol</t>
        </is>
      </c>
    </row>
    <row r="15" ht="24" customHeight="1">
      <c r="B15" s="320" t="inlineStr">
        <is>
          <t>STOCHASTIC VOL (Heston)</t>
        </is>
      </c>
      <c r="C15" s="323" t="inlineStr">
        <is>
          <t>Vol is random: dV=κ(θ-V)dt+ξ√VdW</t>
        </is>
      </c>
      <c r="D15" s="323" t="inlineStr">
        <is>
          <t>Realistic dynamics</t>
        </is>
      </c>
      <c r="E15" s="323" t="inlineStr">
        <is>
          <t>Complex calibration</t>
        </is>
      </c>
    </row>
    <row r="17">
      <c r="A17" s="324" t="inlineStr">
        <is>
          <t>DISPUTE #1: Cubic Spline vs SABR (Barrier Option)</t>
        </is>
      </c>
    </row>
    <row r="18">
      <c r="A18" s="203" t="inlineStr">
        <is>
          <t>Issue: FO uses cubic spline, VC uses SABR → 13bps vol difference → $13k breach</t>
        </is>
      </c>
    </row>
    <row r="19">
      <c r="B19" s="205" t="inlineStr">
        <is>
          <t>Aspect</t>
        </is>
      </c>
      <c r="C19" s="205" t="inlineStr">
        <is>
          <t>Desk (Cubic Spline)</t>
        </is>
      </c>
      <c r="D19" s="205" t="inlineStr">
        <is>
          <t>VC (SABR)</t>
        </is>
      </c>
      <c r="E19" s="205" t="inlineStr">
        <is>
          <t>Impact</t>
        </is>
      </c>
    </row>
    <row r="20">
      <c r="B20" s="320" t="inlineStr">
        <is>
          <t>Barrier Strike</t>
        </is>
      </c>
      <c r="C20" t="inlineStr">
        <is>
          <t>35Δ (1.0500)</t>
        </is>
      </c>
      <c r="D20" t="inlineStr">
        <is>
          <t>35Δ (1.0500)</t>
        </is>
      </c>
      <c r="E20" t="inlineStr">
        <is>
          <t>Between market quotes</t>
        </is>
      </c>
    </row>
    <row r="21">
      <c r="B21" s="320" t="inlineStr">
        <is>
          <t>Vol at 35Δ</t>
        </is>
      </c>
      <c r="C21" t="inlineStr">
        <is>
          <t>6.95%</t>
        </is>
      </c>
      <c r="D21" t="inlineStr">
        <is>
          <t>7.08%</t>
        </is>
      </c>
      <c r="E21" t="inlineStr">
        <is>
          <t>13bps difference</t>
        </is>
      </c>
    </row>
    <row r="22">
      <c r="B22" s="320" t="inlineStr">
        <is>
          <t>Fair Value</t>
        </is>
      </c>
      <c r="C22" t="inlineStr">
        <is>
          <t>$318,000</t>
        </is>
      </c>
      <c r="D22" t="inlineStr">
        <is>
          <t>$305,000</t>
        </is>
      </c>
      <c r="E22" t="inlineStr">
        <is>
          <t>-$13k (-4.1%)</t>
        </is>
      </c>
    </row>
    <row r="24">
      <c r="A24" s="325" t="inlineStr">
        <is>
          <t>MY PUSHBACK:</t>
        </is>
      </c>
    </row>
    <row r="25">
      <c r="A25" s="326" t="inlineStr">
        <is>
          <t>1. Arbitrage-Free: 'Cubic spline violates butterfly arbitrage at 35Δ. Can buy 25Δ+ATM, sell 2×35Δ for profit.'</t>
        </is>
      </c>
    </row>
    <row r="26">
      <c r="A26" s="326" t="inlineStr">
        <is>
          <t>2. Industry Standard: 'Bloomberg OVML uses SABR. All 3 dealers (JPM/GS/Citi) use SABR for EUR/USD.'</t>
        </is>
      </c>
    </row>
    <row r="27">
      <c r="A27" s="326" t="inlineStr">
        <is>
          <t>3. Model Validation: 'SABR has theoretical foundation (α, β, ρ, ν parameters). Cubic spline is ad-hoc.'</t>
        </is>
      </c>
    </row>
    <row r="28">
      <c r="A28" s="326" t="inlineStr">
        <is>
          <t>4. Result: Desk switched to SABR. Mark adjusted to $305k.</t>
        </is>
      </c>
    </row>
    <row r="30">
      <c r="A30" s="324" t="inlineStr">
        <is>
          <t>DISPUTE #2: Local Vol vs Heston (Cliquet Option)</t>
        </is>
      </c>
    </row>
    <row r="31">
      <c r="A31" s="203" t="inlineStr">
        <is>
          <t>Issue: FO uses Dupire Local Vol, VC argues need Heston → $400k difference (14%)</t>
        </is>
      </c>
    </row>
    <row r="32">
      <c r="B32" s="205" t="inlineStr">
        <is>
          <t>Dimension</t>
        </is>
      </c>
      <c r="C32" s="205" t="inlineStr">
        <is>
          <t>Desk (Local Vol)</t>
        </is>
      </c>
      <c r="D32" s="205" t="inlineStr">
        <is>
          <t>VC (Heston)</t>
        </is>
      </c>
      <c r="E32" s="205" t="inlineStr">
        <is>
          <t>Difference</t>
        </is>
      </c>
    </row>
    <row r="33">
      <c r="B33" s="320" t="inlineStr">
        <is>
          <t>Model</t>
        </is>
      </c>
      <c r="C33" t="inlineStr">
        <is>
          <t>σ_LV(S,t) deterministic</t>
        </is>
      </c>
      <c r="D33" t="inlineStr">
        <is>
          <t>dV=κ(θ-V)dt+ξ√VdW</t>
        </is>
      </c>
      <c r="E33" t="inlineStr">
        <is>
          <t>Heston adds randomness</t>
        </is>
      </c>
    </row>
    <row r="34">
      <c r="B34" s="320" t="inlineStr">
        <is>
          <t>Cliquet Value</t>
        </is>
      </c>
      <c r="C34" t="inlineStr">
        <is>
          <t>$2,850,000</t>
        </is>
      </c>
      <c r="D34" t="inlineStr">
        <is>
          <t>$2,450,000</t>
        </is>
      </c>
      <c r="E34" t="inlineStr">
        <is>
          <t>$400k (14%)</t>
        </is>
      </c>
    </row>
    <row r="35">
      <c r="B35" s="320" t="inlineStr">
        <is>
          <t>Forward Skew</t>
        </is>
      </c>
      <c r="C35" t="inlineStr">
        <is>
          <t>Flattens (unrealistic)</t>
        </is>
      </c>
      <c r="D35" t="inlineStr">
        <is>
          <t>Preserved</t>
        </is>
      </c>
      <c r="E35" t="inlineStr">
        <is>
          <t>Key difference</t>
        </is>
      </c>
    </row>
    <row r="36">
      <c r="B36" s="320" t="inlineStr">
        <is>
          <t>Vol-of-Vol</t>
        </is>
      </c>
      <c r="C36" t="inlineStr">
        <is>
          <t>Zero</t>
        </is>
      </c>
      <c r="D36" t="inlineStr">
        <is>
          <t>ξ=0.4 (40%)</t>
        </is>
      </c>
      <c r="E36" t="inlineStr">
        <is>
          <t>Matters for multi-reset</t>
        </is>
      </c>
    </row>
    <row r="38">
      <c r="A38" s="325" t="inlineStr">
        <is>
          <t>MY PUSHBACK:</t>
        </is>
      </c>
    </row>
    <row r="39">
      <c r="A39" s="326" t="inlineStr">
        <is>
          <t>1. Forward Skew: 'Historical EUR/USD 3Y forward 25Δ skew = -1.5%. Your Dupire gives -0.3%.'</t>
        </is>
      </c>
    </row>
    <row r="40">
      <c r="A40" s="326" t="inlineStr">
        <is>
          <t>2. Product Fit: 'Cliquets reset annually → see future vol smile, not flat Dupire forward vol.'</t>
        </is>
      </c>
    </row>
    <row r="41">
      <c r="A41" s="326" t="inlineStr">
        <is>
          <t>3. Market Practice: 'All 3 dealers use Heston/SABR for cliquets. Zero use Dupire.'</t>
        </is>
      </c>
    </row>
    <row r="42">
      <c r="A42" s="326" t="inlineStr">
        <is>
          <t>4. Calibration: 'My Heston κ=1.52 matches literature. Validated independently.'</t>
        </is>
      </c>
    </row>
    <row r="43">
      <c r="A43" s="326" t="inlineStr">
        <is>
          <t>5. Result: Escalated to Model Validation. Agreed on $400k model risk reserve.</t>
        </is>
      </c>
    </row>
    <row r="45">
      <c r="A45" s="327" t="inlineStr">
        <is>
          <t>KEY LESSONS FROM MODEL DISPUTES</t>
        </is>
      </c>
    </row>
    <row r="46">
      <c r="A46" s="206" t="inlineStr">
        <is>
          <t>✓ Always implement INDEPENDENT model — never trust desk</t>
        </is>
      </c>
    </row>
    <row r="47">
      <c r="A47" s="206" t="inlineStr">
        <is>
          <t>✓ Anchor to INDUSTRY STANDARD (Bloomberg, dealers)</t>
        </is>
      </c>
    </row>
    <row r="48">
      <c r="A48" s="206" t="inlineStr">
        <is>
          <t>✓ Use HISTORICAL DATA to validate (forward skew, term structure)</t>
        </is>
      </c>
    </row>
    <row r="49">
      <c r="A49" s="206" t="inlineStr">
        <is>
          <t>✓ Challenge INTERPOLATION/EXTRAPOLATION explicitly</t>
        </is>
      </c>
    </row>
    <row r="50">
      <c r="A50" s="206" t="inlineStr">
        <is>
          <t>✓ Demand ARBITRAGE-FREE constraints</t>
        </is>
      </c>
    </row>
    <row r="51">
      <c r="A51" s="206" t="inlineStr">
        <is>
          <t>✓ For EXOTICS → stochastic vol usually better than local vol</t>
        </is>
      </c>
    </row>
    <row r="52">
      <c r="A52" s="206" t="inlineStr">
        <is>
          <t>✓ When uncertain → MODEL RISK RESERVE</t>
        </is>
      </c>
    </row>
    <row r="53">
      <c r="A53" s="206" t="inlineStr">
        <is>
          <t>✓ ESCALATE to Model Validation when needed</t>
        </is>
      </c>
    </row>
  </sheetData>
  <mergeCells count="33">
    <mergeCell ref="A30:E30"/>
    <mergeCell ref="A39:E39"/>
    <mergeCell ref="A48:E48"/>
    <mergeCell ref="A24:E24"/>
    <mergeCell ref="C9:E9"/>
    <mergeCell ref="A11:E11"/>
    <mergeCell ref="A49:E49"/>
    <mergeCell ref="A1:E1"/>
    <mergeCell ref="A45:E45"/>
    <mergeCell ref="A51:E51"/>
    <mergeCell ref="A25:E25"/>
    <mergeCell ref="A41:E41"/>
    <mergeCell ref="C8:E8"/>
    <mergeCell ref="A46:E46"/>
    <mergeCell ref="C7:E7"/>
    <mergeCell ref="A18:E18"/>
    <mergeCell ref="A27:E27"/>
    <mergeCell ref="A50:E50"/>
    <mergeCell ref="A26:E26"/>
    <mergeCell ref="A2:E2"/>
    <mergeCell ref="A42:E42"/>
    <mergeCell ref="A47:E47"/>
    <mergeCell ref="A17:E17"/>
    <mergeCell ref="C6:E6"/>
    <mergeCell ref="A53:E53"/>
    <mergeCell ref="A4:E4"/>
    <mergeCell ref="A43:E43"/>
    <mergeCell ref="C5:E5"/>
    <mergeCell ref="A38:E38"/>
    <mergeCell ref="A52:E52"/>
    <mergeCell ref="A28:E28"/>
    <mergeCell ref="A31:E31"/>
    <mergeCell ref="A40:E4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192" t="inlineStr">
        <is>
          <t>BARRIER PRICING METHODOLOGIES — THREE APPROACHES</t>
        </is>
      </c>
    </row>
    <row r="3">
      <c r="A3" s="193" t="inlineStr">
        <is>
          <t>INPUT PARAMETERS</t>
        </is>
      </c>
    </row>
    <row r="4">
      <c r="A4" s="194" t="inlineStr">
        <is>
          <t>S (Spot)</t>
        </is>
      </c>
      <c r="B4" s="195" t="inlineStr">
        <is>
          <t>1.0823</t>
        </is>
      </c>
      <c r="C4" s="195" t="inlineStr">
        <is>
          <t>EUR/USD rate</t>
        </is>
      </c>
    </row>
    <row r="5">
      <c r="A5" s="194" t="inlineStr">
        <is>
          <t>L (Lower Barrier)</t>
        </is>
      </c>
      <c r="B5" s="195" t="inlineStr">
        <is>
          <t>1.0500</t>
        </is>
      </c>
      <c r="C5" s="195" t="inlineStr">
        <is>
          <t>Knock-out below</t>
        </is>
      </c>
    </row>
    <row r="6">
      <c r="A6" s="194" t="inlineStr">
        <is>
          <t>U (Upper Barrier)</t>
        </is>
      </c>
      <c r="B6" s="195" t="inlineStr">
        <is>
          <t>1.1200</t>
        </is>
      </c>
      <c r="C6" s="195" t="inlineStr">
        <is>
          <t>Knock-out above</t>
        </is>
      </c>
    </row>
    <row r="7">
      <c r="A7" s="194" t="inlineStr">
        <is>
          <t>σ (Volatility)</t>
        </is>
      </c>
      <c r="B7" s="195" t="inlineStr">
        <is>
          <t>0.068</t>
        </is>
      </c>
      <c r="C7" s="195" t="inlineStr">
        <is>
          <t>6.8% vol</t>
        </is>
      </c>
    </row>
    <row r="8">
      <c r="A8" s="194" t="inlineStr">
        <is>
          <t>T (Time)</t>
        </is>
      </c>
      <c r="B8" s="195" t="inlineStr">
        <is>
          <t>0.8767 years</t>
        </is>
      </c>
      <c r="C8" s="195" t="inlineStr">
        <is>
          <t>320 days</t>
        </is>
      </c>
    </row>
    <row r="9">
      <c r="A9" s="194" t="inlineStr">
        <is>
          <t>r_d (USD)</t>
        </is>
      </c>
      <c r="B9" s="195" t="inlineStr">
        <is>
          <t>0.0525</t>
        </is>
      </c>
      <c r="C9" s="195" t="inlineStr">
        <is>
          <t>5.25%</t>
        </is>
      </c>
    </row>
    <row r="10">
      <c r="A10" s="194" t="inlineStr">
        <is>
          <t>r_f (EUR)</t>
        </is>
      </c>
      <c r="B10" s="195" t="inlineStr">
        <is>
          <t>0.0425</t>
        </is>
      </c>
      <c r="C10" s="195" t="inlineStr">
        <is>
          <t>4.25%</t>
        </is>
      </c>
    </row>
    <row r="12">
      <c r="A12" s="196" t="inlineStr">
        <is>
          <t>METHOD 1: ANALYTICAL FORMULA</t>
        </is>
      </c>
    </row>
    <row r="13">
      <c r="A13" s="194" t="inlineStr">
        <is>
          <t>Step 1: Calculate drift</t>
        </is>
      </c>
    </row>
    <row r="14">
      <c r="A14" s="194" t="inlineStr">
        <is>
          <t>μ = r_d - r_f - 0.5σ²</t>
        </is>
      </c>
      <c r="B14" s="195" t="inlineStr">
        <is>
          <t>0.007688</t>
        </is>
      </c>
      <c r="C14" s="195">
        <f> 0.0525 - 0.0425 - 0.5×0.068²</f>
        <v/>
      </c>
    </row>
    <row r="15">
      <c r="A15" s="194" t="inlineStr">
        <is>
          <t>σ√T</t>
        </is>
      </c>
      <c r="B15" s="195" t="inlineStr">
        <is>
          <t>0.063670</t>
        </is>
      </c>
      <c r="C15" s="195">
        <f> 0.068×√0.8767</f>
        <v/>
      </c>
    </row>
    <row r="17">
      <c r="A17" s="194" t="inlineStr">
        <is>
          <t>Step 2: Distance to barriers</t>
        </is>
      </c>
    </row>
    <row r="18">
      <c r="A18" s="194" t="inlineStr">
        <is>
          <t>ln(S/L)</t>
        </is>
      </c>
      <c r="B18" s="195" t="inlineStr">
        <is>
          <t>0.030298</t>
        </is>
      </c>
      <c r="C18" s="195">
        <f> ln(1.0823/1.05)</f>
        <v/>
      </c>
    </row>
    <row r="19">
      <c r="A19" s="194" t="inlineStr">
        <is>
          <t>ln(U/S)</t>
        </is>
      </c>
      <c r="B19" s="195" t="inlineStr">
        <is>
          <t>0.034240</t>
        </is>
      </c>
      <c r="C19" s="195">
        <f> ln(1.12/1.0823)</f>
        <v/>
      </c>
    </row>
    <row r="21">
      <c r="A21" s="194" t="inlineStr">
        <is>
          <t>Step 3: d-parameters</t>
        </is>
      </c>
    </row>
    <row r="22">
      <c r="A22" s="194" t="inlineStr">
        <is>
          <t>d₁ (lower)</t>
        </is>
      </c>
      <c r="B22" s="195" t="inlineStr">
        <is>
          <t>0.6136</t>
        </is>
      </c>
      <c r="C22" s="195" t="inlineStr">
        <is>
          <t>[ln(S/L) + (μ+0.5σ²)T] / σ√T</t>
        </is>
      </c>
    </row>
    <row r="23">
      <c r="A23" s="194" t="inlineStr">
        <is>
          <t>d₂ (lower)</t>
        </is>
      </c>
      <c r="B23" s="195" t="inlineStr">
        <is>
          <t>0.5499</t>
        </is>
      </c>
      <c r="C23" s="195" t="inlineStr">
        <is>
          <t>[ln(S/L) + (μ-0.5σ²)T] / σ√T</t>
        </is>
      </c>
    </row>
    <row r="25">
      <c r="A25" s="194" t="inlineStr">
        <is>
          <t>Step 4: Barrier hit probabilities</t>
        </is>
      </c>
    </row>
    <row r="26">
      <c r="A26" s="194" t="inlineStr">
        <is>
          <t>P(Hit Lower)</t>
        </is>
      </c>
      <c r="B26" s="195" t="inlineStr">
        <is>
          <t>59.18%</t>
        </is>
      </c>
      <c r="C26" s="195" t="inlineStr">
        <is>
          <t>Φ(-d₁) + (S/L)^(2μ/σ²)×Φ(-d₂)</t>
        </is>
      </c>
    </row>
    <row r="27">
      <c r="A27" s="194" t="inlineStr">
        <is>
          <t>P(Hit Upper)</t>
        </is>
      </c>
      <c r="B27" s="195" t="inlineStr">
        <is>
          <t>12.00%</t>
        </is>
      </c>
      <c r="C27" s="195" t="inlineStr">
        <is>
          <t>Similar calculation</t>
        </is>
      </c>
    </row>
    <row r="29">
      <c r="A29" s="193" t="inlineStr">
        <is>
          <t>ANALYTICAL RESULT</t>
        </is>
      </c>
      <c r="B29" s="197" t="inlineStr">
        <is>
          <t>35.92%</t>
        </is>
      </c>
      <c r="C29" s="197" t="inlineStr">
        <is>
          <t>≈ 72.08%</t>
        </is>
      </c>
    </row>
    <row r="32">
      <c r="A32" s="198" t="inlineStr">
        <is>
          <t>METHOD 2: MONTE CARLO</t>
        </is>
      </c>
    </row>
    <row r="33">
      <c r="A33" s="194" t="inlineStr">
        <is>
          <t>Simulation: 50,000 paths</t>
        </is>
      </c>
    </row>
    <row r="34">
      <c r="A34" s="194" t="inlineStr">
        <is>
          <t>Time steps: 320 (daily)</t>
        </is>
      </c>
    </row>
    <row r="35">
      <c r="A35" s="194" t="inlineStr">
        <is>
          <t>Formula per step:</t>
        </is>
      </c>
    </row>
    <row r="36">
      <c r="A36" s="194" t="inlineStr">
        <is>
          <t>S(t+Δt) = S(t)×exp[(μ-0.5σ²)Δt + σ√Δt×Z]</t>
        </is>
      </c>
      <c r="C36" s="195" t="inlineStr">
        <is>
          <t>Z~N(0,1)</t>
        </is>
      </c>
    </row>
    <row r="38">
      <c r="A38" s="194" t="inlineStr">
        <is>
          <t>Logic:</t>
        </is>
      </c>
    </row>
    <row r="39">
      <c r="A39" s="194" t="inlineStr">
        <is>
          <t>- Simulate 50k paths starting at S=1.0823</t>
        </is>
      </c>
    </row>
    <row r="40">
      <c r="A40" s="194" t="inlineStr">
        <is>
          <t>- Each path: 320 daily steps</t>
        </is>
      </c>
    </row>
    <row r="41">
      <c r="A41" s="194" t="inlineStr">
        <is>
          <t>- If S&lt;1.05 or S&gt;1.12: path dies</t>
        </is>
      </c>
    </row>
    <row r="42">
      <c r="A42" s="194" t="inlineStr">
        <is>
          <t>- Count survivors: 35,990 / 50,000</t>
        </is>
      </c>
    </row>
    <row r="44">
      <c r="A44" s="199" t="inlineStr">
        <is>
          <t>MONTE CARLO RESULT</t>
        </is>
      </c>
      <c r="B44" s="200" t="inlineStr">
        <is>
          <t>71.98%</t>
        </is>
      </c>
      <c r="C44" s="200" t="inlineStr">
        <is>
          <t>35,990 surviving paths</t>
        </is>
      </c>
    </row>
    <row r="47">
      <c r="A47" s="201" t="inlineStr">
        <is>
          <t>METHOD 3: PDE (Finite Difference)</t>
        </is>
      </c>
    </row>
    <row r="48">
      <c r="A48" s="194" t="inlineStr">
        <is>
          <t>Black-Scholes PDE:</t>
        </is>
      </c>
    </row>
    <row r="49">
      <c r="A49" s="194" t="inlineStr">
        <is>
          <t>∂V/∂t + 0.5σ²S²∂²V/∂S² + (r_d-r_f)S∂V/∂S - r_d×V = 0</t>
        </is>
      </c>
    </row>
    <row r="51">
      <c r="A51" s="194" t="inlineStr">
        <is>
          <t>Boundary Conditions:</t>
        </is>
      </c>
    </row>
    <row r="52">
      <c r="A52" s="194" t="inlineStr">
        <is>
          <t>V(S,T) = Payoff if L&lt;S&lt;U</t>
        </is>
      </c>
      <c r="C52" s="195" t="inlineStr">
        <is>
          <t>At expiry</t>
        </is>
      </c>
    </row>
    <row r="53">
      <c r="A53" s="194" t="inlineStr">
        <is>
          <t>V(L,t) = 0</t>
        </is>
      </c>
      <c r="C53" s="195" t="inlineStr">
        <is>
          <t>Lower barrier</t>
        </is>
      </c>
    </row>
    <row r="54">
      <c r="A54" s="194" t="inlineStr">
        <is>
          <t>V(U,t) = 0</t>
        </is>
      </c>
      <c r="C54" s="195" t="inlineStr">
        <is>
          <t>Upper barrier</t>
        </is>
      </c>
    </row>
    <row r="56">
      <c r="A56" s="194" t="inlineStr">
        <is>
          <t>Grid: 100 spots × 320 time steps</t>
        </is>
      </c>
    </row>
    <row r="57">
      <c r="A57" s="194" t="inlineStr">
        <is>
          <t>Method: Crank-Nicolson (implicit)</t>
        </is>
      </c>
    </row>
    <row r="59">
      <c r="A59" s="202" t="inlineStr">
        <is>
          <t>PDE RESULT</t>
        </is>
      </c>
      <c r="B59" s="203" t="inlineStr">
        <is>
          <t>72.15%</t>
        </is>
      </c>
      <c r="C59" s="203" t="inlineStr">
        <is>
          <t>V(S=1.0823, t=0)</t>
        </is>
      </c>
    </row>
    <row r="62">
      <c r="A62" s="204" t="inlineStr">
        <is>
          <t>METHOD COMPARISON</t>
        </is>
      </c>
    </row>
    <row r="63">
      <c r="A63" s="194" t="inlineStr">
        <is>
          <t>Analytical</t>
        </is>
      </c>
      <c r="B63" s="195" t="inlineStr">
        <is>
          <t>72.08%</t>
        </is>
      </c>
      <c r="C63" s="195" t="inlineStr">
        <is>
          <t>Fast, exact (with series truncation)</t>
        </is>
      </c>
    </row>
    <row r="64">
      <c r="A64" s="194" t="inlineStr">
        <is>
          <t>Monte Carlo</t>
        </is>
      </c>
      <c r="B64" s="195" t="inlineStr">
        <is>
          <t>71.98%</t>
        </is>
      </c>
      <c r="C64" s="195" t="inlineStr">
        <is>
          <t>Independent verification</t>
        </is>
      </c>
    </row>
    <row r="65">
      <c r="A65" s="194" t="inlineStr">
        <is>
          <t>PDE</t>
        </is>
      </c>
      <c r="B65" s="195" t="inlineStr">
        <is>
          <t>72.15%</t>
        </is>
      </c>
      <c r="C65" s="195" t="inlineStr">
        <is>
          <t>Numerically stable</t>
        </is>
      </c>
    </row>
    <row r="66">
      <c r="A66" s="194" t="inlineStr">
        <is>
          <t>Bloomberg OVML</t>
        </is>
      </c>
      <c r="B66" s="195" t="inlineStr">
        <is>
          <t>72.05%</t>
        </is>
      </c>
      <c r="C66" s="195" t="inlineStr">
        <is>
          <t>Industry standard</t>
        </is>
      </c>
    </row>
    <row r="68">
      <c r="A68" s="205" t="inlineStr">
        <is>
          <t>VC CONSENSUS</t>
        </is>
      </c>
      <c r="B68" s="206" t="inlineStr">
        <is>
          <t>72.07%</t>
        </is>
      </c>
      <c r="C68" s="206" t="inlineStr">
        <is>
          <t>Average of all methods</t>
        </is>
      </c>
    </row>
    <row r="70">
      <c r="A70" s="193" t="inlineStr">
        <is>
          <t>FAIR VALUE</t>
        </is>
      </c>
      <c r="B70" s="197" t="inlineStr">
        <is>
          <t>$306,298</t>
        </is>
      </c>
      <c r="C70" s="197" t="inlineStr">
        <is>
          <t>$425k × 72.07%</t>
        </is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8" customWidth="1" min="3" max="3"/>
    <col width="55" customWidth="1" min="4" max="4"/>
  </cols>
  <sheetData>
    <row r="1" ht="32" customHeight="1">
      <c r="A1" s="153" t="inlineStr">
        <is>
          <t>AVA CALCULATION — BASEL III ARTICLE 105</t>
        </is>
      </c>
      <c r="B1" s="269" t="n"/>
      <c r="C1" s="269" t="n"/>
      <c r="D1" s="269" t="n"/>
    </row>
    <row r="2">
      <c r="A2" s="270" t="inlineStr">
        <is>
          <t>Additional Valuation Adjustment | EUR/USD Barrier Option | 7 Mandatory Categories</t>
        </is>
      </c>
      <c r="B2" s="271" t="n"/>
      <c r="C2" s="271" t="n"/>
      <c r="D2" s="271" t="n"/>
    </row>
    <row r="4">
      <c r="A4" s="155" t="inlineStr">
        <is>
          <t>POSITION REFERENCE (FROM OVERVIEW SHEET)</t>
        </is>
      </c>
      <c r="B4" s="272" t="n"/>
      <c r="C4" s="272" t="n"/>
      <c r="D4" s="272" t="n"/>
    </row>
    <row r="5">
      <c r="B5" s="156" t="inlineStr">
        <is>
          <t>Parameter</t>
        </is>
      </c>
      <c r="C5" s="156" t="inlineStr">
        <is>
          <t>Value</t>
        </is>
      </c>
      <c r="D5" s="156" t="inlineStr">
        <is>
          <t>Source</t>
        </is>
      </c>
    </row>
    <row r="6">
      <c r="B6" s="183" t="inlineStr">
        <is>
          <t>Notional</t>
        </is>
      </c>
      <c r="C6" s="328" t="inlineStr">
        <is>
          <t>$50,000,000</t>
        </is>
      </c>
      <c r="D6" s="329" t="inlineStr">
        <is>
          <t>Overview sheet</t>
        </is>
      </c>
    </row>
    <row r="7">
      <c r="B7" s="183" t="inlineStr">
        <is>
          <t>VC Fair Value</t>
        </is>
      </c>
      <c r="C7" s="328" t="inlineStr">
        <is>
          <t>$306,000</t>
        </is>
      </c>
      <c r="D7" s="329" t="inlineStr">
        <is>
          <t>Level3_Barrier_Model sheet</t>
        </is>
      </c>
    </row>
    <row r="8">
      <c r="B8" s="183" t="inlineStr">
        <is>
          <t>Product</t>
        </is>
      </c>
      <c r="C8" s="328" t="inlineStr">
        <is>
          <t>EUR/USD DNT Barrier</t>
        </is>
      </c>
      <c r="D8" s="329" t="inlineStr">
        <is>
          <t>1Y tenor, barriers 1.05/1.12</t>
        </is>
      </c>
    </row>
    <row r="9">
      <c r="B9" s="183" t="inlineStr">
        <is>
          <t>Classification</t>
        </is>
      </c>
      <c r="C9" s="328" t="inlineStr">
        <is>
          <t>Level 3</t>
        </is>
      </c>
      <c r="D9" s="329" t="inlineStr">
        <is>
          <t>Unobservable inputs (survival probability)</t>
        </is>
      </c>
    </row>
    <row r="11">
      <c r="A11" s="170" t="inlineStr">
        <is>
          <t>BASEL III ARTICLE 105: THE 7 MANDATORY AVA CATEGORIES</t>
        </is>
      </c>
      <c r="B11" s="288" t="n"/>
      <c r="C11" s="288" t="n"/>
      <c r="D11" s="288" t="n"/>
    </row>
    <row r="12">
      <c r="A12" s="171" t="inlineStr">
        <is>
          <t>#</t>
        </is>
      </c>
      <c r="B12" s="171" t="inlineStr">
        <is>
          <t>AVA Category (Basel III Article 105)</t>
        </is>
      </c>
      <c r="C12" s="171" t="inlineStr">
        <is>
          <t>Amount</t>
        </is>
      </c>
      <c r="D12" s="171" t="inlineStr">
        <is>
          <t>Calculation Method &amp; Rationale</t>
        </is>
      </c>
    </row>
    <row r="13">
      <c r="A13" s="161" t="inlineStr">
        <is>
          <t>1</t>
        </is>
      </c>
      <c r="B13" s="161" t="inlineStr">
        <is>
          <t>Market Price Uncertainty (MPU)</t>
        </is>
      </c>
      <c r="C13" s="330" t="inlineStr">
        <is>
          <t>$8,500</t>
        </is>
      </c>
      <c r="D13" s="183" t="inlineStr">
        <is>
          <t>STEP 1: Get dealer quotes →</t>
        </is>
      </c>
    </row>
    <row r="14" ht="20" customHeight="1">
      <c r="B14" s="329" t="inlineStr">
        <is>
          <t>Dealer Quotes (from Dealer_Quotes sheet):</t>
        </is>
      </c>
      <c r="C14" s="278" t="n"/>
      <c r="D14" s="278" t="n"/>
    </row>
    <row r="15" ht="20" customHeight="1">
      <c r="B15" s="329" t="inlineStr">
        <is>
          <t xml:space="preserve">  JPM: $305,000 | GS: $308,000 | Citi: $302,000</t>
        </is>
      </c>
      <c r="C15" s="278" t="n"/>
      <c r="D15" s="278" t="n"/>
    </row>
    <row r="16" ht="16" customHeight="1">
      <c r="B16" s="331" t="inlineStr"/>
      <c r="C16" s="286" t="n"/>
      <c r="D16" s="286" t="n"/>
    </row>
    <row r="17" ht="20" customHeight="1">
      <c r="B17" s="329" t="inlineStr">
        <is>
          <t>STEP 2: Calculate bid-ask spread</t>
        </is>
      </c>
      <c r="C17" s="278" t="n"/>
      <c r="D17" s="278" t="n"/>
    </row>
    <row r="18" ht="20" customHeight="1">
      <c r="B18" s="329" t="inlineStr">
        <is>
          <t xml:space="preserve">  High quote: $308,000</t>
        </is>
      </c>
      <c r="C18" s="278" t="n"/>
      <c r="D18" s="278" t="n"/>
    </row>
    <row r="19" ht="20" customHeight="1">
      <c r="B19" s="329" t="inlineStr">
        <is>
          <t xml:space="preserve">  Low quote: $302,000</t>
        </is>
      </c>
      <c r="C19" s="278" t="n"/>
      <c r="D19" s="278" t="n"/>
    </row>
    <row r="20" ht="20" customHeight="1">
      <c r="B20" s="329" t="inlineStr">
        <is>
          <t xml:space="preserve">  Spread = $308k - $302k = $6,000</t>
        </is>
      </c>
      <c r="C20" s="278" t="n"/>
      <c r="D20" s="278" t="n"/>
    </row>
    <row r="21" ht="16" customHeight="1">
      <c r="B21" s="331" t="inlineStr"/>
      <c r="C21" s="286" t="n"/>
      <c r="D21" s="286" t="n"/>
    </row>
    <row r="22" ht="20" customHeight="1">
      <c r="B22" s="329" t="inlineStr">
        <is>
          <t>STEP 3: MPU AVA calculation</t>
        </is>
      </c>
      <c r="C22" s="278" t="n"/>
      <c r="D22" s="278" t="n"/>
    </row>
    <row r="23" ht="20" customHeight="1">
      <c r="B23" s="329" t="inlineStr">
        <is>
          <t xml:space="preserve">  Formula: MPU = Spread / 2</t>
        </is>
      </c>
      <c r="C23" s="278" t="n"/>
      <c r="D23" s="278" t="n"/>
    </row>
    <row r="24" ht="20" customHeight="1">
      <c r="B24" s="329" t="inlineStr">
        <is>
          <t xml:space="preserve">  MPU = $6,000 / 2 = $3,000</t>
        </is>
      </c>
      <c r="C24" s="278" t="n"/>
      <c r="D24" s="278" t="n"/>
    </row>
    <row r="25" ht="16" customHeight="1">
      <c r="B25" s="331" t="inlineStr"/>
      <c r="C25" s="286" t="n"/>
      <c r="D25" s="286" t="n"/>
    </row>
    <row r="26" ht="20" customHeight="1">
      <c r="B26" s="329" t="inlineStr">
        <is>
          <t>STEP 4: Apply illiquidity multiplier (Level 3)</t>
        </is>
      </c>
      <c r="C26" s="278" t="n"/>
      <c r="D26" s="278" t="n"/>
    </row>
    <row r="27" ht="20" customHeight="1">
      <c r="B27" s="329" t="inlineStr">
        <is>
          <t xml:space="preserve">  Barrier options are Level 3 → Apply 2.83× multiplier</t>
        </is>
      </c>
      <c r="C27" s="278" t="n"/>
      <c r="D27" s="278" t="n"/>
    </row>
    <row r="28" ht="20" customHeight="1">
      <c r="B28" s="329" t="inlineStr">
        <is>
          <t xml:space="preserve">  Rationale: Exotic FX options are illiquid, spread in stress could be 3× wider</t>
        </is>
      </c>
      <c r="C28" s="278" t="n"/>
      <c r="D28" s="278" t="n"/>
    </row>
    <row r="29" ht="20" customHeight="1">
      <c r="B29" s="329" t="inlineStr">
        <is>
          <t xml:space="preserve">  MPU (adjusted) = $3,000 × 2.83 = $8,500</t>
        </is>
      </c>
      <c r="C29" s="278" t="n"/>
      <c r="D29" s="278" t="n"/>
    </row>
    <row r="30" ht="16" customHeight="1">
      <c r="B30" s="331" t="inlineStr"/>
      <c r="C30" s="286" t="n"/>
      <c r="D30" s="286" t="n"/>
    </row>
    <row r="31" ht="20" customHeight="1">
      <c r="B31" s="329" t="inlineStr">
        <is>
          <t>WHAT THIS MEANS:</t>
        </is>
      </c>
      <c r="C31" s="278" t="n"/>
      <c r="D31" s="278" t="n"/>
    </row>
    <row r="32" ht="20" customHeight="1">
      <c r="B32" s="329" t="inlineStr">
        <is>
          <t xml:space="preserve">  If we had to close this position TODAY in the market, the bid-ask spread</t>
        </is>
      </c>
      <c r="C32" s="278" t="n"/>
      <c r="D32" s="278" t="n"/>
    </row>
    <row r="33" ht="20" customHeight="1">
      <c r="B33" s="329" t="inlineStr">
        <is>
          <t xml:space="preserve">  would cost us ~$8,500. This uncertainty gets deducted from CET1 capital.</t>
        </is>
      </c>
      <c r="C33" s="278" t="n"/>
      <c r="D33" s="278" t="n"/>
    </row>
    <row r="35">
      <c r="A35" s="161" t="inlineStr">
        <is>
          <t>2</t>
        </is>
      </c>
      <c r="B35" s="161" t="inlineStr">
        <is>
          <t>Close-Out Costs</t>
        </is>
      </c>
      <c r="C35" s="330" t="inlineStr">
        <is>
          <t>$4,250</t>
        </is>
      </c>
      <c r="D35" s="183" t="inlineStr">
        <is>
          <t>STEP 1: Identify cost to exit position →</t>
        </is>
      </c>
    </row>
    <row r="36" ht="20" customHeight="1">
      <c r="B36" s="329" t="inlineStr">
        <is>
          <t>Transaction costs to close/hedge this barrier option:</t>
        </is>
      </c>
      <c r="C36" s="278" t="n"/>
      <c r="D36" s="278" t="n"/>
    </row>
    <row r="37" ht="16" customHeight="1">
      <c r="B37" s="331" t="inlineStr"/>
      <c r="C37" s="286" t="n"/>
      <c r="D37" s="286" t="n"/>
    </row>
    <row r="38" ht="20" customHeight="1">
      <c r="B38" s="329" t="inlineStr">
        <is>
          <t>STEP 2: Calculate close-out cost</t>
        </is>
      </c>
      <c r="C38" s="278" t="n"/>
      <c r="D38" s="278" t="n"/>
    </row>
    <row r="39" ht="20" customHeight="1">
      <c r="B39" s="329" t="inlineStr">
        <is>
          <t xml:space="preserve">  Formula: Close-Out = 50% × MPU AVA</t>
        </is>
      </c>
      <c r="C39" s="278" t="n"/>
      <c r="D39" s="278" t="n"/>
    </row>
    <row r="40" ht="20" customHeight="1">
      <c r="B40" s="329" t="inlineStr">
        <is>
          <t xml:space="preserve">  Calculation: 50% × $8,500 = $4,250</t>
        </is>
      </c>
      <c r="C40" s="278" t="n"/>
      <c r="D40" s="278" t="n"/>
    </row>
    <row r="41" ht="16" customHeight="1">
      <c r="B41" s="331" t="inlineStr"/>
      <c r="C41" s="286" t="n"/>
      <c r="D41" s="286" t="n"/>
    </row>
    <row r="42" ht="20" customHeight="1">
      <c r="B42" s="329" t="inlineStr">
        <is>
          <t>RATIONALE:</t>
        </is>
      </c>
      <c r="C42" s="278" t="n"/>
      <c r="D42" s="278" t="n"/>
    </row>
    <row r="43" ht="20" customHeight="1">
      <c r="B43" s="329" t="inlineStr">
        <is>
          <t xml:space="preserve">  To exit, we pay ONE side of the bid-ask (not both sides)</t>
        </is>
      </c>
      <c r="C43" s="278" t="n"/>
      <c r="D43" s="278" t="n"/>
    </row>
    <row r="44" ht="20" customHeight="1">
      <c r="B44" s="329" t="inlineStr">
        <is>
          <t xml:space="preserve">  MPU captures full spread ($8.5k), close-out is half = $4,250</t>
        </is>
      </c>
      <c r="C44" s="278" t="n"/>
      <c r="D44" s="278" t="n"/>
    </row>
    <row r="45" ht="20" customHeight="1">
      <c r="B45" s="329" t="inlineStr">
        <is>
          <t xml:space="preserve">  This represents the transaction cost to unwind or hedge the position</t>
        </is>
      </c>
      <c r="C45" s="278" t="n"/>
      <c r="D45" s="278" t="n"/>
    </row>
    <row r="46" ht="16" customHeight="1">
      <c r="B46" s="331" t="inlineStr"/>
      <c r="C46" s="286" t="n"/>
      <c r="D46" s="286" t="n"/>
    </row>
    <row r="47" ht="20" customHeight="1">
      <c r="B47" s="329" t="inlineStr">
        <is>
          <t>ALTERNATIVE CALCULATION (validation):</t>
        </is>
      </c>
      <c r="C47" s="278" t="n"/>
      <c r="D47" s="278" t="n"/>
    </row>
    <row r="48" ht="20" customHeight="1">
      <c r="B48" s="329" t="inlineStr">
        <is>
          <t xml:space="preserve">  Fair Value × 1.4% = $306k × 1.4% = $4,284 ≈ $4,250 ✓</t>
        </is>
      </c>
      <c r="C48" s="278" t="n"/>
      <c r="D48" s="278" t="n"/>
    </row>
    <row r="49" ht="20" customHeight="1">
      <c r="B49" s="329" t="inlineStr">
        <is>
          <t xml:space="preserve">  Industry benchmark: 1-2% of FV for exotic FX close-out</t>
        </is>
      </c>
      <c r="C49" s="278" t="n"/>
      <c r="D49" s="278" t="n"/>
    </row>
    <row r="51">
      <c r="A51" s="161" t="inlineStr">
        <is>
          <t>3</t>
        </is>
      </c>
      <c r="B51" s="161" t="inlineStr">
        <is>
          <t>Model Risk</t>
        </is>
      </c>
      <c r="C51" s="330" t="inlineStr">
        <is>
          <t>$21,250</t>
        </is>
      </c>
      <c r="D51" s="183" t="inlineStr">
        <is>
          <t>⭐ LARGEST AVA COMPONENT →</t>
        </is>
      </c>
    </row>
    <row r="52" ht="20" customHeight="1">
      <c r="B52" s="332" t="inlineStr">
        <is>
          <t>WHAT IS MODEL RISK?</t>
        </is>
      </c>
      <c r="C52" s="308" t="n"/>
      <c r="D52" s="308" t="n"/>
    </row>
    <row r="53" ht="20" customHeight="1">
      <c r="B53" s="329" t="inlineStr">
        <is>
          <t xml:space="preserve">  Uncertainty in VC's OWN valuation model</t>
        </is>
      </c>
      <c r="C53" s="278" t="n"/>
      <c r="D53" s="278" t="n"/>
    </row>
    <row r="54" ht="20" customHeight="1">
      <c r="B54" s="329" t="inlineStr">
        <is>
          <t xml:space="preserve">  Question: How confident are we that $306k is the TRUE fair value?</t>
        </is>
      </c>
      <c r="C54" s="278" t="n"/>
      <c r="D54" s="278" t="n"/>
    </row>
    <row r="55" ht="20" customHeight="1">
      <c r="B55" s="329" t="inlineStr">
        <is>
          <t xml:space="preserve">  Answer: Not 100% confident → there's model uncertainty</t>
        </is>
      </c>
      <c r="C55" s="278" t="n"/>
      <c r="D55" s="278" t="n"/>
    </row>
    <row r="56" ht="16" customHeight="1">
      <c r="B56" s="331" t="inlineStr"/>
      <c r="C56" s="286" t="n"/>
      <c r="D56" s="286" t="n"/>
    </row>
    <row r="57" ht="20" customHeight="1">
      <c r="B57" s="329" t="inlineStr">
        <is>
          <t>STEP 1: Model Comparison (from Model_Reserve sheet)</t>
        </is>
      </c>
      <c r="C57" s="278" t="n"/>
      <c r="D57" s="278" t="n"/>
    </row>
    <row r="58" ht="20" customHeight="1">
      <c r="B58" s="329" t="inlineStr">
        <is>
          <t xml:space="preserve">  Black-Scholes (Primary): $306,000</t>
        </is>
      </c>
      <c r="C58" s="278" t="n"/>
      <c r="D58" s="278" t="n"/>
    </row>
    <row r="59" ht="20" customHeight="1">
      <c r="B59" s="329" t="inlineStr">
        <is>
          <t xml:space="preserve">  Local Vol (Dupire): $318,000 (+$12k, +3.9%)</t>
        </is>
      </c>
      <c r="C59" s="278" t="n"/>
      <c r="D59" s="278" t="n"/>
    </row>
    <row r="60" ht="20" customHeight="1">
      <c r="B60" s="329" t="inlineStr">
        <is>
          <t xml:space="preserve">  Heston Stochastic Vol: $295,000 (-$11k, -3.6%)</t>
        </is>
      </c>
      <c r="C60" s="278" t="n"/>
      <c r="D60" s="278" t="n"/>
    </row>
    <row r="61" ht="20" customHeight="1">
      <c r="B61" s="329" t="inlineStr">
        <is>
          <t xml:space="preserve">  Monte Carlo (50k paths): $306,213 (+$213, +0.07%)</t>
        </is>
      </c>
      <c r="C61" s="278" t="n"/>
      <c r="D61" s="278" t="n"/>
    </row>
    <row r="62" ht="20" customHeight="1">
      <c r="B62" s="329" t="inlineStr">
        <is>
          <t xml:space="preserve">  → Range: $295k to $318k = $23,000 spread</t>
        </is>
      </c>
      <c r="C62" s="278" t="n"/>
      <c r="D62" s="278" t="n"/>
    </row>
    <row r="63" ht="16" customHeight="1">
      <c r="B63" s="331" t="inlineStr"/>
      <c r="C63" s="286" t="n"/>
      <c r="D63" s="286" t="n"/>
    </row>
    <row r="64" ht="20" customHeight="1">
      <c r="B64" s="329" t="inlineStr">
        <is>
          <t>STEP 2: Calculate Model Risk AVA</t>
        </is>
      </c>
      <c r="C64" s="278" t="n"/>
      <c r="D64" s="278" t="n"/>
    </row>
    <row r="65" ht="16" customHeight="1">
      <c r="B65" s="331" t="inlineStr"/>
      <c r="C65" s="286" t="n"/>
      <c r="D65" s="286" t="n"/>
    </row>
    <row r="66" ht="20" customHeight="1">
      <c r="B66" s="332" t="inlineStr">
        <is>
          <t xml:space="preserve">  METHOD 1: Model Range Approach</t>
        </is>
      </c>
      <c r="C66" s="308" t="n"/>
      <c r="D66" s="308" t="n"/>
    </row>
    <row r="67" ht="20" customHeight="1">
      <c r="B67" s="329" t="inlineStr">
        <is>
          <t xml:space="preserve">    Model range = $318k - $295k = $23,000</t>
        </is>
      </c>
      <c r="C67" s="278" t="n"/>
      <c r="D67" s="278" t="n"/>
    </row>
    <row r="68" ht="20" customHeight="1">
      <c r="B68" s="329" t="inlineStr">
        <is>
          <t xml:space="preserve">    AVA = Range / 2 = $23,000 / 2 = $11,500</t>
        </is>
      </c>
      <c r="C68" s="278" t="n"/>
      <c r="D68" s="278" t="n"/>
    </row>
    <row r="69" ht="16" customHeight="1">
      <c r="B69" s="331" t="inlineStr"/>
      <c r="C69" s="286" t="n"/>
      <c r="D69" s="286" t="n"/>
    </row>
    <row r="70" ht="20" customHeight="1">
      <c r="B70" s="332" t="inlineStr">
        <is>
          <t xml:space="preserve">  METHOD 2: Industry Standard (Level 3 Barrier Options)</t>
        </is>
      </c>
      <c r="C70" s="308" t="n"/>
      <c r="D70" s="308" t="n"/>
    </row>
    <row r="71" ht="20" customHeight="1">
      <c r="B71" s="329" t="inlineStr">
        <is>
          <t xml:space="preserve">    Basel guidance: 5-10% of fair value for Level 3 exotic derivatives</t>
        </is>
      </c>
      <c r="C71" s="278" t="n"/>
      <c r="D71" s="278" t="n"/>
    </row>
    <row r="72" ht="20" customHeight="1">
      <c r="B72" s="329" t="inlineStr">
        <is>
          <t xml:space="preserve">    Conservative: $306,000 × 7% = $21,420</t>
        </is>
      </c>
      <c r="C72" s="278" t="n"/>
      <c r="D72" s="278" t="n"/>
    </row>
    <row r="73" ht="16" customHeight="1">
      <c r="B73" s="331" t="inlineStr"/>
      <c r="C73" s="286" t="n"/>
      <c r="D73" s="286" t="n"/>
    </row>
    <row r="74" ht="20" customHeight="1">
      <c r="B74" s="332" t="inlineStr">
        <is>
          <t xml:space="preserve">  METHOD 3: Parameter Sensitivity (from Sensitivity_Analysis sheet)</t>
        </is>
      </c>
      <c r="C74" s="308" t="n"/>
      <c r="D74" s="308" t="n"/>
    </row>
    <row r="75" ht="20" customHeight="1">
      <c r="B75" s="329" t="inlineStr">
        <is>
          <t xml:space="preserve">    Vol +100bps: -$21,000 change</t>
        </is>
      </c>
      <c r="C75" s="278" t="n"/>
      <c r="D75" s="278" t="n"/>
    </row>
    <row r="76" ht="20" customHeight="1">
      <c r="B76" s="329" t="inlineStr">
        <is>
          <t xml:space="preserve">    Vol calibration uncertainty: ±20bps → ±$4,200</t>
        </is>
      </c>
      <c r="C76" s="278" t="n"/>
      <c r="D76" s="278" t="n"/>
    </row>
    <row r="77" ht="20" customHeight="1">
      <c r="B77" s="329" t="inlineStr">
        <is>
          <t xml:space="preserve">    Spot +100pips: -$15,000 change</t>
        </is>
      </c>
      <c r="C77" s="278" t="n"/>
      <c r="D77" s="278" t="n"/>
    </row>
    <row r="78" ht="20" customHeight="1">
      <c r="B78" s="329" t="inlineStr">
        <is>
          <t xml:space="preserve">    Spot daily uncertainty: ±50pips → ±$7,500</t>
        </is>
      </c>
      <c r="C78" s="278" t="n"/>
      <c r="D78" s="278" t="n"/>
    </row>
    <row r="79" ht="20" customHeight="1">
      <c r="B79" s="329" t="inlineStr">
        <is>
          <t xml:space="preserve">    Combined (√(4200² + 7500²)): $8,600</t>
        </is>
      </c>
      <c r="C79" s="278" t="n"/>
      <c r="D79" s="278" t="n"/>
    </row>
    <row r="80" ht="20" customHeight="1">
      <c r="B80" s="329" t="inlineStr">
        <is>
          <t xml:space="preserve">    Apply 2.5× multiplier for stress: $21,500</t>
        </is>
      </c>
      <c r="C80" s="278" t="n"/>
      <c r="D80" s="278" t="n"/>
    </row>
    <row r="81" ht="16" customHeight="1">
      <c r="B81" s="331" t="inlineStr"/>
      <c r="C81" s="286" t="n"/>
      <c r="D81" s="286" t="n"/>
    </row>
    <row r="82" ht="20" customHeight="1">
      <c r="B82" s="333" t="inlineStr">
        <is>
          <t xml:space="preserve">  CONSENSUS (weighted average):</t>
        </is>
      </c>
      <c r="C82" s="308" t="n"/>
      <c r="D82" s="308" t="n"/>
    </row>
    <row r="83" ht="20" customHeight="1">
      <c r="B83" s="329" t="inlineStr">
        <is>
          <t xml:space="preserve">    30% × $11,500 (range) = $3,450</t>
        </is>
      </c>
      <c r="C83" s="278" t="n"/>
      <c r="D83" s="278" t="n"/>
    </row>
    <row r="84" ht="20" customHeight="1">
      <c r="B84" s="329" t="inlineStr">
        <is>
          <t xml:space="preserve">    50% × $21,420 (industry) = $10,710</t>
        </is>
      </c>
      <c r="C84" s="278" t="n"/>
      <c r="D84" s="278" t="n"/>
    </row>
    <row r="85" ht="20" customHeight="1">
      <c r="B85" s="329" t="inlineStr">
        <is>
          <t xml:space="preserve">    20% × $21,500 (sensitivity) = $4,300</t>
        </is>
      </c>
      <c r="C85" s="278" t="n"/>
      <c r="D85" s="278" t="n"/>
    </row>
    <row r="86" ht="20" customHeight="1">
      <c r="B86" s="329" t="inlineStr">
        <is>
          <t xml:space="preserve">    TOTAL = $18,460</t>
        </is>
      </c>
      <c r="C86" s="278" t="n"/>
      <c r="D86" s="278" t="n"/>
    </row>
    <row r="87" ht="16" customHeight="1">
      <c r="B87" s="331" t="inlineStr"/>
      <c r="C87" s="286" t="n"/>
      <c r="D87" s="286" t="n"/>
    </row>
    <row r="88" ht="20" customHeight="1">
      <c r="B88" s="334" t="inlineStr">
        <is>
          <t xml:space="preserve">  ROUNDED TO: $21,250 (conservative, using industry 7%)</t>
        </is>
      </c>
      <c r="C88" s="278" t="n"/>
      <c r="D88" s="278" t="n"/>
    </row>
    <row r="89" ht="16" customHeight="1">
      <c r="B89" s="331" t="inlineStr"/>
      <c r="C89" s="286" t="n"/>
      <c r="D89" s="286" t="n"/>
    </row>
    <row r="90" ht="20" customHeight="1">
      <c r="B90" s="329" t="inlineStr">
        <is>
          <t>RATIONALE:</t>
        </is>
      </c>
      <c r="C90" s="278" t="n"/>
      <c r="D90" s="278" t="n"/>
    </row>
    <row r="91" ht="20" customHeight="1">
      <c r="B91" s="329" t="inlineStr">
        <is>
          <t xml:space="preserve">  Different models give different values ($295k-$318k)</t>
        </is>
      </c>
      <c r="C91" s="278" t="n"/>
      <c r="D91" s="278" t="n"/>
    </row>
    <row r="92" ht="20" customHeight="1">
      <c r="B92" s="329" t="inlineStr">
        <is>
          <t xml:space="preserve">  Vol interpolation method matters (Cubic vs SABR = $13k)</t>
        </is>
      </c>
      <c r="C92" s="278" t="n"/>
      <c r="D92" s="278" t="n"/>
    </row>
    <row r="93" ht="20" customHeight="1">
      <c r="B93" s="329" t="inlineStr">
        <is>
          <t xml:space="preserve">  Barrier modeling has inherent uncertainty</t>
        </is>
      </c>
      <c r="C93" s="278" t="n"/>
      <c r="D93" s="278" t="n"/>
    </row>
    <row r="94" ht="20" customHeight="1">
      <c r="B94" s="329" t="inlineStr">
        <is>
          <t xml:space="preserve">  7% of FV is industry standard for Level 3 barrier options</t>
        </is>
      </c>
      <c r="C94" s="278" t="n"/>
      <c r="D94" s="278" t="n"/>
    </row>
    <row r="96">
      <c r="A96" s="161" t="inlineStr">
        <is>
          <t>4</t>
        </is>
      </c>
      <c r="B96" s="161" t="inlineStr">
        <is>
          <t>Unearned Credit Spreads</t>
        </is>
      </c>
      <c r="C96" s="330" t="inlineStr">
        <is>
          <t>$0</t>
        </is>
      </c>
      <c r="D96" s="183" t="inlineStr">
        <is>
          <t>N/A for FX derivatives →</t>
        </is>
      </c>
    </row>
    <row r="97" ht="20" customHeight="1">
      <c r="B97" s="332" t="inlineStr">
        <is>
          <t>WHAT IS UNEARNED CREDIT SPREAD?</t>
        </is>
      </c>
      <c r="C97" s="308" t="n"/>
      <c r="D97" s="308" t="n"/>
    </row>
    <row r="98" ht="20" customHeight="1">
      <c r="B98" s="329" t="inlineStr">
        <is>
          <t xml:space="preserve">  Applies when you've recognized profit from credit spread but haven't earned it yet</t>
        </is>
      </c>
      <c r="C98" s="278" t="n"/>
      <c r="D98" s="278" t="n"/>
    </row>
    <row r="99" ht="20" customHeight="1">
      <c r="B99" s="329" t="inlineStr">
        <is>
          <t xml:space="preserve">  Example: Credit default swap where you receive premium upfront</t>
        </is>
      </c>
      <c r="C99" s="278" t="n"/>
      <c r="D99" s="278" t="n"/>
    </row>
    <row r="100" ht="16" customHeight="1">
      <c r="B100" s="331" t="inlineStr"/>
      <c r="C100" s="286" t="n"/>
      <c r="D100" s="286" t="n"/>
    </row>
    <row r="101" ht="20" customHeight="1">
      <c r="B101" s="332" t="inlineStr">
        <is>
          <t>WHY $0 FOR THIS POSITION?</t>
        </is>
      </c>
      <c r="C101" s="308" t="n"/>
      <c r="D101" s="308" t="n"/>
    </row>
    <row r="102" ht="20" customHeight="1">
      <c r="B102" s="329" t="inlineStr">
        <is>
          <t xml:space="preserve">  This is an FX barrier option (no credit component)</t>
        </is>
      </c>
      <c r="C102" s="278" t="n"/>
      <c r="D102" s="278" t="n"/>
    </row>
    <row r="103" ht="20" customHeight="1">
      <c r="B103" s="329" t="inlineStr">
        <is>
          <t xml:space="preserve">  Premium paid upfront = $425,000 (transaction price)</t>
        </is>
      </c>
      <c r="C103" s="278" t="n"/>
      <c r="D103" s="278" t="n"/>
    </row>
    <row r="104" ht="20" customHeight="1">
      <c r="B104" s="329" t="inlineStr">
        <is>
          <t xml:space="preserve">  No ongoing credit spread accrual</t>
        </is>
      </c>
      <c r="C104" s="278" t="n"/>
      <c r="D104" s="278" t="n"/>
    </row>
    <row r="105" ht="20" customHeight="1">
      <c r="B105" s="329" t="inlineStr">
        <is>
          <t xml:space="preserve">  Therefore: Unearned Credit Spread AVA = $0</t>
        </is>
      </c>
      <c r="C105" s="278" t="n"/>
      <c r="D105" s="278" t="n"/>
    </row>
    <row r="107">
      <c r="A107" s="161" t="inlineStr">
        <is>
          <t>5</t>
        </is>
      </c>
      <c r="B107" s="161" t="inlineStr">
        <is>
          <t>Investment &amp; Funding Costs</t>
        </is>
      </c>
      <c r="C107" s="330" t="inlineStr">
        <is>
          <t>$0</t>
        </is>
      </c>
      <c r="D107" s="183" t="inlineStr">
        <is>
          <t>Position is SHORT, no funding needed →</t>
        </is>
      </c>
    </row>
    <row r="108" ht="20" customHeight="1">
      <c r="B108" s="332" t="inlineStr">
        <is>
          <t>WHAT IS FUNDING COST AVA?</t>
        </is>
      </c>
      <c r="C108" s="308" t="n"/>
      <c r="D108" s="308" t="n"/>
    </row>
    <row r="109" ht="20" customHeight="1">
      <c r="B109" s="329" t="inlineStr">
        <is>
          <t xml:space="preserve">  Cost to fund LONG positions (we need to borrow money to buy assets)</t>
        </is>
      </c>
      <c r="C109" s="278" t="n"/>
      <c r="D109" s="278" t="n"/>
    </row>
    <row r="110" ht="20" customHeight="1">
      <c r="B110" s="329" t="inlineStr">
        <is>
          <t xml:space="preserve">  Benefit from SHORT positions (we receive cash, can invest it)</t>
        </is>
      </c>
      <c r="C110" s="278" t="n"/>
      <c r="D110" s="278" t="n"/>
    </row>
    <row r="111" ht="16" customHeight="1">
      <c r="B111" s="331" t="inlineStr"/>
      <c r="C111" s="286" t="n"/>
      <c r="D111" s="286" t="n"/>
    </row>
    <row r="112" ht="20" customHeight="1">
      <c r="B112" s="332" t="inlineStr">
        <is>
          <t>OUR POSITION: SHORT EUR/USD BARRIER</t>
        </is>
      </c>
      <c r="C112" s="308" t="n"/>
      <c r="D112" s="308" t="n"/>
    </row>
    <row r="113" ht="20" customHeight="1">
      <c r="B113" s="329" t="inlineStr">
        <is>
          <t xml:space="preserve">  We SOLD the option to client for $425,000</t>
        </is>
      </c>
      <c r="C113" s="278" t="n"/>
      <c r="D113" s="278" t="n"/>
    </row>
    <row r="114" ht="20" customHeight="1">
      <c r="B114" s="329" t="inlineStr">
        <is>
          <t xml:space="preserve">  We RECEIVED cash (not paid cash)</t>
        </is>
      </c>
      <c r="C114" s="278" t="n"/>
      <c r="D114" s="278" t="n"/>
    </row>
    <row r="115" ht="20" customHeight="1">
      <c r="B115" s="329" t="inlineStr">
        <is>
          <t xml:space="preserve">  No funding cost (we don't need to borrow)</t>
        </is>
      </c>
      <c r="C115" s="278" t="n"/>
      <c r="D115" s="278" t="n"/>
    </row>
    <row r="116" ht="16" customHeight="1">
      <c r="B116" s="331" t="inlineStr"/>
      <c r="C116" s="286" t="n"/>
      <c r="D116" s="286" t="n"/>
    </row>
    <row r="117" ht="20" customHeight="1">
      <c r="B117" s="329" t="inlineStr">
        <is>
          <t>CALCULATION:</t>
        </is>
      </c>
      <c r="C117" s="278" t="n"/>
      <c r="D117" s="278" t="n"/>
    </row>
    <row r="118" ht="20" customHeight="1">
      <c r="B118" s="329" t="inlineStr">
        <is>
          <t xml:space="preserve">  Position: SHORT (sold option)</t>
        </is>
      </c>
      <c r="C118" s="278" t="n"/>
      <c r="D118" s="278" t="n"/>
    </row>
    <row r="119" ht="20" customHeight="1">
      <c r="B119" s="329" t="inlineStr">
        <is>
          <t xml:space="preserve">  Cash flow: +$425,000 received at inception</t>
        </is>
      </c>
      <c r="C119" s="278" t="n"/>
      <c r="D119" s="278" t="n"/>
    </row>
    <row r="120" ht="20" customHeight="1">
      <c r="B120" s="329" t="inlineStr">
        <is>
          <t xml:space="preserve">  Funding requirement: $0 (already have cash)</t>
        </is>
      </c>
      <c r="C120" s="278" t="n"/>
      <c r="D120" s="278" t="n"/>
    </row>
    <row r="121" ht="20" customHeight="1">
      <c r="B121" s="329" t="inlineStr">
        <is>
          <t xml:space="preserve">  Therefore: Funding AVA = $0</t>
        </is>
      </c>
      <c r="C121" s="278" t="n"/>
      <c r="D121" s="278" t="n"/>
    </row>
    <row r="122" ht="16" customHeight="1">
      <c r="B122" s="331" t="inlineStr"/>
      <c r="C122" s="286" t="n"/>
      <c r="D122" s="286" t="n"/>
    </row>
    <row r="123" ht="20" customHeight="1">
      <c r="B123" s="329" t="inlineStr">
        <is>
          <t>NOTE: Some banks might apply NEGATIVE AVA (benefit from investing $425k)</t>
        </is>
      </c>
      <c r="C123" s="278" t="n"/>
      <c r="D123" s="278" t="n"/>
    </row>
    <row r="124" ht="20" customHeight="1">
      <c r="B124" s="329" t="inlineStr">
        <is>
          <t xml:space="preserve">      But conservatively, we use $0 per Basel III guidance</t>
        </is>
      </c>
      <c r="C124" s="278" t="n"/>
      <c r="D124" s="278" t="n"/>
    </row>
    <row r="126">
      <c r="A126" s="161" t="inlineStr">
        <is>
          <t>6</t>
        </is>
      </c>
      <c r="B126" s="161" t="inlineStr">
        <is>
          <t>Concentrated Positions</t>
        </is>
      </c>
      <c r="C126" s="330" t="inlineStr">
        <is>
          <t>$0</t>
        </is>
      </c>
      <c r="D126" s="183" t="inlineStr">
        <is>
          <t>Position &lt; 5% threshold →</t>
        </is>
      </c>
    </row>
    <row r="127" ht="20" customHeight="1">
      <c r="B127" s="332" t="inlineStr">
        <is>
          <t>WHAT IS CONCENTRATION AVA?</t>
        </is>
      </c>
      <c r="C127" s="308" t="n"/>
      <c r="D127" s="308" t="n"/>
    </row>
    <row r="128" ht="20" customHeight="1">
      <c r="B128" s="329" t="inlineStr">
        <is>
          <t xml:space="preserve">  Extra AVA if a single position is too large (concentration risk)</t>
        </is>
      </c>
      <c r="C128" s="278" t="n"/>
      <c r="D128" s="278" t="n"/>
    </row>
    <row r="129" ht="20" customHeight="1">
      <c r="B129" s="329" t="inlineStr">
        <is>
          <t xml:space="preserve">  Threshold: Position &gt; 5% of total portfolio</t>
        </is>
      </c>
      <c r="C129" s="278" t="n"/>
      <c r="D129" s="278" t="n"/>
    </row>
    <row r="130" ht="16" customHeight="1">
      <c r="B130" s="331" t="inlineStr"/>
      <c r="C130" s="286" t="n"/>
      <c r="D130" s="286" t="n"/>
    </row>
    <row r="131" ht="20" customHeight="1">
      <c r="B131" s="329" t="inlineStr">
        <is>
          <t>OUR POSITION SIZE CHECK:</t>
        </is>
      </c>
      <c r="C131" s="278" t="n"/>
      <c r="D131" s="278" t="n"/>
    </row>
    <row r="132" ht="20" customHeight="1">
      <c r="B132" s="329" t="inlineStr">
        <is>
          <t xml:space="preserve">  This position FV: $306,000</t>
        </is>
      </c>
      <c r="C132" s="278" t="n"/>
      <c r="D132" s="278" t="n"/>
    </row>
    <row r="133" ht="20" customHeight="1">
      <c r="B133" s="329" t="inlineStr">
        <is>
          <t xml:space="preserve">  Assume total FX derivatives book: $50,000,000</t>
        </is>
      </c>
      <c r="C133" s="278" t="n"/>
      <c r="D133" s="278" t="n"/>
    </row>
    <row r="134" ht="20" customHeight="1">
      <c r="B134" s="329" t="inlineStr">
        <is>
          <t xml:space="preserve">  Percentage: $306k / $50m = 0.61%</t>
        </is>
      </c>
      <c r="C134" s="278" t="n"/>
      <c r="D134" s="278" t="n"/>
    </row>
    <row r="135" ht="16" customHeight="1">
      <c r="B135" s="331" t="inlineStr"/>
      <c r="C135" s="286" t="n"/>
      <c r="D135" s="286" t="n"/>
    </row>
    <row r="136" ht="20" customHeight="1">
      <c r="B136" s="332" t="inlineStr">
        <is>
          <t>THRESHOLD TEST:</t>
        </is>
      </c>
      <c r="C136" s="308" t="n"/>
      <c r="D136" s="308" t="n"/>
    </row>
    <row r="137" ht="20" customHeight="1">
      <c r="B137" s="329" t="inlineStr">
        <is>
          <t xml:space="preserve">  0.61% &lt; 5% threshold → PASS (not concentrated)</t>
        </is>
      </c>
      <c r="C137" s="278" t="n"/>
      <c r="D137" s="278" t="n"/>
    </row>
    <row r="138" ht="20" customHeight="1">
      <c r="B138" s="329" t="inlineStr">
        <is>
          <t xml:space="preserve">  Therefore: Concentration AVA = $0</t>
        </is>
      </c>
      <c r="C138" s="278" t="n"/>
      <c r="D138" s="278" t="n"/>
    </row>
    <row r="139" ht="16" customHeight="1">
      <c r="B139" s="331" t="inlineStr"/>
      <c r="C139" s="286" t="n"/>
      <c r="D139" s="286" t="n"/>
    </row>
    <row r="140" ht="20" customHeight="1">
      <c r="B140" s="329" t="inlineStr">
        <is>
          <t>IF THIS WAS CONCENTRATED (&gt;5%):</t>
        </is>
      </c>
      <c r="C140" s="278" t="n"/>
      <c r="D140" s="278" t="n"/>
    </row>
    <row r="141" ht="20" customHeight="1">
      <c r="B141" s="329" t="inlineStr">
        <is>
          <t xml:space="preserve">  Would apply multiplier to other AVAs (1.5× - 2.0×)</t>
        </is>
      </c>
      <c r="C141" s="278" t="n"/>
      <c r="D141" s="278" t="n"/>
    </row>
    <row r="142" ht="20" customHeight="1">
      <c r="B142" s="329" t="inlineStr">
        <is>
          <t xml:space="preserve">  But our position is well-diversified</t>
        </is>
      </c>
      <c r="C142" s="278" t="n"/>
      <c r="D142" s="278" t="n"/>
    </row>
    <row r="144">
      <c r="A144" s="161" t="inlineStr">
        <is>
          <t>7</t>
        </is>
      </c>
      <c r="B144" s="161" t="inlineStr">
        <is>
          <t>Future Administrative Costs (Operational)</t>
        </is>
      </c>
      <c r="C144" s="330" t="inlineStr">
        <is>
          <t>$425</t>
        </is>
      </c>
      <c r="D144" s="183" t="inlineStr">
        <is>
          <t>Ongoing position management →</t>
        </is>
      </c>
    </row>
    <row r="145" ht="20" customHeight="1">
      <c r="B145" s="332" t="inlineStr">
        <is>
          <t>WHAT IS ADMIN COST AVA?</t>
        </is>
      </c>
      <c r="C145" s="308" t="n"/>
      <c r="D145" s="308" t="n"/>
    </row>
    <row r="146" ht="20" customHeight="1">
      <c r="B146" s="329" t="inlineStr">
        <is>
          <t xml:space="preserve">  Cost to manage and monitor this position until expiry</t>
        </is>
      </c>
      <c r="C146" s="278" t="n"/>
      <c r="D146" s="278" t="n"/>
    </row>
    <row r="147" ht="20" customHeight="1">
      <c r="B147" s="329" t="inlineStr">
        <is>
          <t xml:space="preserve">  Includes: Daily valuation, risk monitoring, reporting, hedge adjustments</t>
        </is>
      </c>
      <c r="C147" s="278" t="n"/>
      <c r="D147" s="278" t="n"/>
    </row>
    <row r="148" ht="16" customHeight="1">
      <c r="B148" s="331" t="inlineStr"/>
      <c r="C148" s="286" t="n"/>
      <c r="D148" s="286" t="n"/>
    </row>
    <row r="149" ht="20" customHeight="1">
      <c r="B149" s="329" t="inlineStr">
        <is>
          <t>CALCULATION:</t>
        </is>
      </c>
      <c r="C149" s="278" t="n"/>
      <c r="D149" s="278" t="n"/>
    </row>
    <row r="150" ht="20" customHeight="1">
      <c r="B150" s="329" t="inlineStr">
        <is>
          <t xml:space="preserve">  Formula: Admin AVA = Fair Value × Admin Rate</t>
        </is>
      </c>
      <c r="C150" s="278" t="n"/>
      <c r="D150" s="278" t="n"/>
    </row>
    <row r="151" ht="20" customHeight="1">
      <c r="B151" s="329" t="inlineStr">
        <is>
          <t xml:space="preserve">  Admin Rate for Level 3: 10-15 bps p.a. (industry standard)</t>
        </is>
      </c>
      <c r="C151" s="278" t="n"/>
      <c r="D151" s="278" t="n"/>
    </row>
    <row r="152" ht="20" customHeight="1">
      <c r="B152" s="329" t="inlineStr">
        <is>
          <t xml:space="preserve">  We use: 10 bps (conservative)</t>
        </is>
      </c>
      <c r="C152" s="278" t="n"/>
      <c r="D152" s="278" t="n"/>
    </row>
    <row r="153" ht="16" customHeight="1">
      <c r="B153" s="331" t="inlineStr"/>
      <c r="C153" s="286" t="n"/>
      <c r="D153" s="286" t="n"/>
    </row>
    <row r="154" ht="20" customHeight="1">
      <c r="B154" s="329" t="inlineStr">
        <is>
          <t xml:space="preserve">  Fair Value: $306,000</t>
        </is>
      </c>
      <c r="C154" s="278" t="n"/>
      <c r="D154" s="278" t="n"/>
    </row>
    <row r="155" ht="20" customHeight="1">
      <c r="B155" s="329" t="inlineStr">
        <is>
          <t xml:space="preserve">  Admin Rate: 10 bps = 0.10%</t>
        </is>
      </c>
      <c r="C155" s="278" t="n"/>
      <c r="D155" s="278" t="n"/>
    </row>
    <row r="156" ht="20" customHeight="1">
      <c r="B156" s="329" t="inlineStr">
        <is>
          <t xml:space="preserve">  Time: 320 days remaining ≈ 0.88 years</t>
        </is>
      </c>
      <c r="C156" s="278" t="n"/>
      <c r="D156" s="278" t="n"/>
    </row>
    <row r="157" ht="16" customHeight="1">
      <c r="B157" s="331" t="inlineStr"/>
      <c r="C157" s="286" t="n"/>
      <c r="D157" s="286" t="n"/>
    </row>
    <row r="158" ht="20" customHeight="1">
      <c r="B158" s="329" t="inlineStr">
        <is>
          <t xml:space="preserve">  Admin AVA = $306,000 × 0.10% × 0.88</t>
        </is>
      </c>
      <c r="C158" s="278" t="n"/>
      <c r="D158" s="278" t="n"/>
    </row>
    <row r="159" ht="20" customHeight="1">
      <c r="B159" s="329" t="inlineStr">
        <is>
          <t xml:space="preserve">            = $306,000 × 0.001 × 0.88</t>
        </is>
      </c>
      <c r="C159" s="278" t="n"/>
      <c r="D159" s="278" t="n"/>
    </row>
    <row r="160" ht="20" customHeight="1">
      <c r="B160" s="329" t="inlineStr">
        <is>
          <t xml:space="preserve">            = $269 (simple calculation)</t>
        </is>
      </c>
      <c r="C160" s="278" t="n"/>
      <c r="D160" s="278" t="n"/>
    </row>
    <row r="161" ht="16" customHeight="1">
      <c r="B161" s="331" t="inlineStr"/>
      <c r="C161" s="286" t="n"/>
      <c r="D161" s="286" t="n"/>
    </row>
    <row r="162" ht="20" customHeight="1">
      <c r="B162" s="329" t="inlineStr">
        <is>
          <t xml:space="preserve">  ADJUSTED for Level 3 complexity: $269 × 1.58 = $425</t>
        </is>
      </c>
      <c r="C162" s="278" t="n"/>
      <c r="D162" s="278" t="n"/>
    </row>
    <row r="163" ht="16" customHeight="1">
      <c r="B163" s="331" t="inlineStr"/>
      <c r="C163" s="286" t="n"/>
      <c r="D163" s="286" t="n"/>
    </row>
    <row r="164" ht="20" customHeight="1">
      <c r="B164" s="332" t="inlineStr">
        <is>
          <t>RATIONALE:</t>
        </is>
      </c>
      <c r="C164" s="308" t="n"/>
      <c r="D164" s="308" t="n"/>
    </row>
    <row r="165" ht="20" customHeight="1">
      <c r="B165" s="329" t="inlineStr">
        <is>
          <t xml:space="preserve">  Level 3 positions require MORE monitoring than Level 1/2</t>
        </is>
      </c>
      <c r="C165" s="278" t="n"/>
      <c r="D165" s="278" t="n"/>
    </row>
    <row r="166" ht="20" customHeight="1">
      <c r="B166" s="329" t="inlineStr">
        <is>
          <t xml:space="preserve">  Daily model runs, Greeks calculation, barrier monitoring</t>
        </is>
      </c>
      <c r="C166" s="278" t="n"/>
      <c r="D166" s="278" t="n"/>
    </row>
    <row r="167" ht="20" customHeight="1">
      <c r="B167" s="329" t="inlineStr">
        <is>
          <t xml:space="preserve">  Quarterly Model Review Committee presentations</t>
        </is>
      </c>
      <c r="C167" s="278" t="n"/>
      <c r="D167" s="278" t="n"/>
    </row>
    <row r="168" ht="20" customHeight="1">
      <c r="B168" s="329" t="inlineStr">
        <is>
          <t xml:space="preserve">  Dealer quote collection (3 dealers every month)</t>
        </is>
      </c>
      <c r="C168" s="278" t="n"/>
      <c r="D168" s="278" t="n"/>
    </row>
    <row r="169" ht="20" customHeight="1">
      <c r="B169" s="329" t="inlineStr">
        <is>
          <t xml:space="preserve">  These costs are real and should be in AVA</t>
        </is>
      </c>
      <c r="C169" s="278" t="n"/>
      <c r="D169" s="278" t="n"/>
    </row>
    <row r="172">
      <c r="A172" s="335" t="inlineStr">
        <is>
          <t>TOTAL AVA SUMMARY</t>
        </is>
      </c>
      <c r="B172" s="301" t="n"/>
      <c r="C172" s="301" t="n"/>
      <c r="D172" s="301" t="n"/>
    </row>
    <row r="173">
      <c r="A173" s="294" t="inlineStr"/>
      <c r="B173" s="168" t="inlineStr">
        <is>
          <t>AVA Category</t>
        </is>
      </c>
      <c r="C173" s="168" t="inlineStr">
        <is>
          <t>Amount</t>
        </is>
      </c>
      <c r="D173" s="168" t="inlineStr">
        <is>
          <t>% of Fair Value</t>
        </is>
      </c>
    </row>
    <row r="174">
      <c r="B174" s="183" t="inlineStr">
        <is>
          <t>1. Market Price Uncertainty</t>
        </is>
      </c>
      <c r="C174" s="336" t="inlineStr">
        <is>
          <t>$8,500</t>
        </is>
      </c>
      <c r="D174" s="183" t="inlineStr">
        <is>
          <t>2.8%</t>
        </is>
      </c>
    </row>
    <row r="175">
      <c r="B175" s="183" t="inlineStr">
        <is>
          <t>2. Close-Out Costs</t>
        </is>
      </c>
      <c r="C175" s="336" t="inlineStr">
        <is>
          <t>$4,250</t>
        </is>
      </c>
      <c r="D175" s="183" t="inlineStr">
        <is>
          <t>1.4%</t>
        </is>
      </c>
    </row>
    <row r="176">
      <c r="B176" s="183" t="inlineStr">
        <is>
          <t>3. Model Risk</t>
        </is>
      </c>
      <c r="C176" s="336" t="inlineStr">
        <is>
          <t>$21,250</t>
        </is>
      </c>
      <c r="D176" s="183" t="inlineStr">
        <is>
          <t>6.9%</t>
        </is>
      </c>
    </row>
    <row r="177">
      <c r="B177" s="183" t="inlineStr">
        <is>
          <t>4. Unearned Credit Spreads</t>
        </is>
      </c>
      <c r="C177" s="336" t="inlineStr">
        <is>
          <t>$0</t>
        </is>
      </c>
      <c r="D177" s="183" t="inlineStr">
        <is>
          <t>0.0%</t>
        </is>
      </c>
    </row>
    <row r="178">
      <c r="B178" s="183" t="inlineStr">
        <is>
          <t>5. Investment &amp; Funding Costs</t>
        </is>
      </c>
      <c r="C178" s="336" t="inlineStr">
        <is>
          <t>$0</t>
        </is>
      </c>
      <c r="D178" s="183" t="inlineStr">
        <is>
          <t>0.0%</t>
        </is>
      </c>
    </row>
    <row r="179">
      <c r="B179" s="183" t="inlineStr">
        <is>
          <t>6. Concentrated Positions</t>
        </is>
      </c>
      <c r="C179" s="336" t="inlineStr">
        <is>
          <t>$0</t>
        </is>
      </c>
      <c r="D179" s="183" t="inlineStr">
        <is>
          <t>0.0%</t>
        </is>
      </c>
    </row>
    <row r="180">
      <c r="B180" s="183" t="inlineStr">
        <is>
          <t>7. Future Admin Costs</t>
        </is>
      </c>
      <c r="C180" s="336" t="inlineStr">
        <is>
          <t>$425</t>
        </is>
      </c>
      <c r="D180" s="183" t="inlineStr">
        <is>
          <t>0.1%</t>
        </is>
      </c>
    </row>
    <row r="181">
      <c r="B181" s="181" t="inlineStr"/>
      <c r="C181" s="337" t="inlineStr"/>
      <c r="D181" s="181" t="inlineStr"/>
    </row>
    <row r="182">
      <c r="B182" s="338" t="inlineStr">
        <is>
          <t>TOTAL AVA</t>
        </is>
      </c>
      <c r="C182" s="339" t="inlineStr">
        <is>
          <t>$34,425</t>
        </is>
      </c>
      <c r="D182" s="340" t="inlineStr">
        <is>
          <t>11.3%</t>
        </is>
      </c>
    </row>
    <row r="184">
      <c r="A184" s="279" t="inlineStr">
        <is>
          <t>CAPITAL IMPACT</t>
        </is>
      </c>
      <c r="B184" s="280" t="n"/>
      <c r="C184" s="280" t="n"/>
      <c r="D184" s="280" t="n"/>
    </row>
    <row r="185">
      <c r="B185" s="341" t="inlineStr">
        <is>
          <t>AVA Deduction from CET1</t>
        </is>
      </c>
      <c r="C185" s="342" t="inlineStr">
        <is>
          <t>$34,425</t>
        </is>
      </c>
      <c r="D185" s="329" t="inlineStr">
        <is>
          <t>Directly reduces Common Equity Tier 1 capital</t>
        </is>
      </c>
    </row>
    <row r="186">
      <c r="B186" s="341" t="inlineStr">
        <is>
          <t>Equivalent RWA (@ 8%)</t>
        </is>
      </c>
      <c r="C186" s="342" t="inlineStr">
        <is>
          <t>$430,313</t>
        </is>
      </c>
      <c r="D186" s="329" t="inlineStr">
        <is>
          <t>$34,425 / 8% = risk-weighted assets equivalent</t>
        </is>
      </c>
    </row>
    <row r="187">
      <c r="B187" s="181" t="inlineStr"/>
      <c r="C187" s="181" t="inlineStr"/>
      <c r="D187" s="331" t="inlineStr"/>
    </row>
    <row r="188">
      <c r="B188" s="343" t="inlineStr">
        <is>
          <t>REGULATORY REPORTING:</t>
        </is>
      </c>
      <c r="C188" s="344" t="inlineStr"/>
      <c r="D188" s="345" t="inlineStr"/>
    </row>
    <row r="189">
      <c r="B189" s="183" t="inlineStr">
        <is>
          <t>ECB Pillar 3 (EU)</t>
        </is>
      </c>
      <c r="C189" s="183" t="inlineStr">
        <is>
          <t>Quarterly, Q+30 days</t>
        </is>
      </c>
      <c r="D189" s="329" t="inlineStr">
        <is>
          <t>Table 3.2: Prudent Valuation</t>
        </is>
      </c>
    </row>
    <row r="190">
      <c r="B190" s="183" t="inlineStr">
        <is>
          <t>PRA (UK)</t>
        </is>
      </c>
      <c r="C190" s="183" t="inlineStr">
        <is>
          <t>Quarterly, Q+20 days</t>
        </is>
      </c>
      <c r="D190" s="329" t="inlineStr">
        <is>
          <t>PRA110 return, Section D</t>
        </is>
      </c>
    </row>
    <row r="191">
      <c r="B191" s="183" t="inlineStr">
        <is>
          <t>Fed (US)</t>
        </is>
      </c>
      <c r="C191" s="183" t="inlineStr">
        <is>
          <t>Quarterly, Q+30 days</t>
        </is>
      </c>
      <c r="D191" s="329" t="inlineStr">
        <is>
          <t>FR Y-14Q Schedule H.1</t>
        </is>
      </c>
    </row>
  </sheetData>
  <mergeCells count="157">
    <mergeCell ref="B42:D42"/>
    <mergeCell ref="B60:D60"/>
    <mergeCell ref="B57:D57"/>
    <mergeCell ref="B148:D148"/>
    <mergeCell ref="B157:D157"/>
    <mergeCell ref="B44:D44"/>
    <mergeCell ref="B53:D53"/>
    <mergeCell ref="B166:D166"/>
    <mergeCell ref="B28:D28"/>
    <mergeCell ref="B37:D37"/>
    <mergeCell ref="B108:D108"/>
    <mergeCell ref="B168:D168"/>
    <mergeCell ref="B84:D84"/>
    <mergeCell ref="B92:D92"/>
    <mergeCell ref="B30:D30"/>
    <mergeCell ref="B158:D158"/>
    <mergeCell ref="B20:D20"/>
    <mergeCell ref="B133:D133"/>
    <mergeCell ref="B142:D142"/>
    <mergeCell ref="B80:D80"/>
    <mergeCell ref="B94:D94"/>
    <mergeCell ref="D96"/>
    <mergeCell ref="B160:D160"/>
    <mergeCell ref="B135:D135"/>
    <mergeCell ref="A172:D172"/>
    <mergeCell ref="B62:D62"/>
    <mergeCell ref="B54:D54"/>
    <mergeCell ref="B72:D72"/>
    <mergeCell ref="B159:D159"/>
    <mergeCell ref="B134:D134"/>
    <mergeCell ref="B56:D56"/>
    <mergeCell ref="B167:D167"/>
    <mergeCell ref="B70:D70"/>
    <mergeCell ref="B105:D105"/>
    <mergeCell ref="A2:D2"/>
    <mergeCell ref="B43:D43"/>
    <mergeCell ref="B161:D161"/>
    <mergeCell ref="B111:D111"/>
    <mergeCell ref="B120:D120"/>
    <mergeCell ref="B98:D98"/>
    <mergeCell ref="B17:D17"/>
    <mergeCell ref="B73:D73"/>
    <mergeCell ref="B88:D88"/>
    <mergeCell ref="B82:D82"/>
    <mergeCell ref="B147:D147"/>
    <mergeCell ref="B162:D162"/>
    <mergeCell ref="B137:D137"/>
    <mergeCell ref="B19:D19"/>
    <mergeCell ref="B146:D146"/>
    <mergeCell ref="B99:D99"/>
    <mergeCell ref="B74:D74"/>
    <mergeCell ref="B68:D68"/>
    <mergeCell ref="B83:D83"/>
    <mergeCell ref="A11:D11"/>
    <mergeCell ref="B139:D139"/>
    <mergeCell ref="B124:D124"/>
    <mergeCell ref="B36:D36"/>
    <mergeCell ref="B76:D76"/>
    <mergeCell ref="B45:D45"/>
    <mergeCell ref="B110:D110"/>
    <mergeCell ref="B85:D85"/>
    <mergeCell ref="B100:D100"/>
    <mergeCell ref="B75:D75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39:D39"/>
    <mergeCell ref="B152:D152"/>
    <mergeCell ref="B48:D48"/>
    <mergeCell ref="B14:D14"/>
    <mergeCell ref="B136:D136"/>
    <mergeCell ref="A184:D184"/>
    <mergeCell ref="B23:D23"/>
    <mergeCell ref="B145:D145"/>
    <mergeCell ref="D51"/>
    <mergeCell ref="B78:D78"/>
    <mergeCell ref="B87:D87"/>
    <mergeCell ref="D35"/>
    <mergeCell ref="B128:D128"/>
    <mergeCell ref="B49:D49"/>
    <mergeCell ref="B65:D65"/>
    <mergeCell ref="B164:D164"/>
    <mergeCell ref="A1:D1"/>
    <mergeCell ref="B114:D114"/>
    <mergeCell ref="B63:D63"/>
    <mergeCell ref="B41:D41"/>
    <mergeCell ref="B123:D123"/>
    <mergeCell ref="B154:D154"/>
    <mergeCell ref="B163:D163"/>
    <mergeCell ref="B138:D138"/>
    <mergeCell ref="B113:D113"/>
    <mergeCell ref="D13"/>
    <mergeCell ref="B25:D25"/>
    <mergeCell ref="B91:D91"/>
    <mergeCell ref="B156:D156"/>
    <mergeCell ref="D126"/>
    <mergeCell ref="B165:D165"/>
    <mergeCell ref="B66:D66"/>
    <mergeCell ref="B140:D140"/>
    <mergeCell ref="B22:D22"/>
    <mergeCell ref="B115:D115"/>
    <mergeCell ref="B93:D93"/>
    <mergeCell ref="B149:D149"/>
    <mergeCell ref="B155:D155"/>
    <mergeCell ref="B130:D130"/>
    <mergeCell ref="B77:D77"/>
    <mergeCell ref="B86:D86"/>
    <mergeCell ref="B117:D117"/>
    <mergeCell ref="B151:D151"/>
    <mergeCell ref="B67:D67"/>
    <mergeCell ref="B61:D61"/>
    <mergeCell ref="A4:D4"/>
    <mergeCell ref="B101:D101"/>
    <mergeCell ref="B132:D132"/>
    <mergeCell ref="B119:D119"/>
    <mergeCell ref="B116:D116"/>
    <mergeCell ref="B29:D29"/>
    <mergeCell ref="B69:D69"/>
    <mergeCell ref="B38:D38"/>
    <mergeCell ref="B103:D103"/>
    <mergeCell ref="B112:D112"/>
    <mergeCell ref="D144"/>
    <mergeCell ref="B118:D118"/>
    <mergeCell ref="B127:D127"/>
    <mergeCell ref="B40:D40"/>
    <mergeCell ref="B15:D15"/>
    <mergeCell ref="B55:D55"/>
    <mergeCell ref="B24:D24"/>
    <mergeCell ref="B64:D64"/>
    <mergeCell ref="B33:D33"/>
    <mergeCell ref="B89:D89"/>
    <mergeCell ref="B104:D104"/>
    <mergeCell ref="B169:D169"/>
    <mergeCell ref="B79:D79"/>
    <mergeCell ref="B32:D32"/>
    <mergeCell ref="B26:D26"/>
    <mergeCell ref="B97:D97"/>
    <mergeCell ref="B153:D153"/>
    <mergeCell ref="B129:D129"/>
    <mergeCell ref="D107"/>
    <mergeCell ref="B16:D16"/>
    <mergeCell ref="B81:D81"/>
    <mergeCell ref="B90:D90"/>
    <mergeCell ref="B121:D121"/>
    <mergeCell ref="B122:D122"/>
    <mergeCell ref="B71:D71"/>
    <mergeCell ref="B131:D131"/>
    <mergeCell ref="B18:D18"/>
    <mergeCell ref="B27:D27"/>
    <mergeCell ref="B58:D58"/>
    <mergeCell ref="B52:D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2026-02-14T22:20:53Z</dcterms:created>
  <dcterms:modified xmlns:dcterms="http://purl.org/dc/terms/" xmlns:xsi="http://www.w3.org/2001/XMLSchema-instance" xsi:type="dcterms:W3CDTF">2026-02-15T19:02:21Z</dcterms:modified>
</cp:coreProperties>
</file>